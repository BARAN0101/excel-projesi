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an\Desktop\"/>
    </mc:Choice>
  </mc:AlternateContent>
  <xr:revisionPtr revIDLastSave="0" documentId="13_ncr:1_{7F3296F9-B9E1-4139-B879-32CA5FD9AB1C}" xr6:coauthVersionLast="47" xr6:coauthVersionMax="47" xr10:uidLastSave="{00000000-0000-0000-0000-000000000000}"/>
  <bookViews>
    <workbookView xWindow="-108" yWindow="-108" windowWidth="23256" windowHeight="12456" xr2:uid="{E426CD4A-06C2-4ADA-A4EB-BA533EF41B4F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3" i="1"/>
  <c r="G2" i="1"/>
  <c r="F8" i="1"/>
  <c r="F9" i="1"/>
  <c r="F10" i="1"/>
  <c r="F11" i="1"/>
  <c r="F12" i="1"/>
  <c r="F13" i="1"/>
  <c r="F14" i="1"/>
  <c r="F15" i="1"/>
  <c r="F16" i="1"/>
  <c r="F7" i="1"/>
  <c r="F6" i="1"/>
  <c r="F5" i="1"/>
  <c r="F4" i="1"/>
  <c r="D4" i="1"/>
  <c r="E4" i="1" s="1"/>
  <c r="F3" i="1"/>
  <c r="F2" i="1"/>
  <c r="H7" i="1"/>
  <c r="H8" i="1"/>
  <c r="H9" i="1"/>
  <c r="H10" i="1"/>
  <c r="H11" i="1"/>
  <c r="H13" i="1"/>
  <c r="H14" i="1"/>
  <c r="H15" i="1"/>
  <c r="H16" i="1"/>
  <c r="H5" i="1"/>
  <c r="H3" i="1"/>
  <c r="H2" i="1"/>
  <c r="E13" i="1"/>
  <c r="E14" i="1"/>
  <c r="E15" i="1"/>
  <c r="E16" i="1"/>
  <c r="E11" i="1"/>
  <c r="E10" i="1"/>
  <c r="E9" i="1"/>
  <c r="E8" i="1"/>
  <c r="E7" i="1"/>
  <c r="E5" i="1"/>
  <c r="E3" i="1"/>
  <c r="E2" i="1"/>
  <c r="D16" i="1"/>
  <c r="D15" i="1"/>
  <c r="D14" i="1"/>
  <c r="D13" i="1"/>
  <c r="D12" i="1"/>
  <c r="E12" i="1" s="1"/>
  <c r="D11" i="1"/>
  <c r="D10" i="1"/>
  <c r="D9" i="1"/>
  <c r="D8" i="1"/>
  <c r="D7" i="1"/>
  <c r="D6" i="1"/>
  <c r="E6" i="1" s="1"/>
  <c r="D5" i="1"/>
  <c r="D3" i="1"/>
  <c r="D2" i="1"/>
  <c r="H12" i="1" l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Baran</author>
  </authors>
  <commentList>
    <comment ref="H1" authorId="0" shapeId="0" xr:uid="{C7F3803F-D8A3-498C-A102-5DF774097088}">
      <text>
        <r>
          <rPr>
            <sz val="9"/>
            <color indexed="81"/>
            <rFont val="Tahoma"/>
            <family val="2"/>
            <charset val="162"/>
          </rPr>
          <t xml:space="preserve">Ders notu:
0-24 : F-F
25-44 : DD   85-100:AA    
45-69 : CC
70-84 : BB
</t>
        </r>
      </text>
    </comment>
    <comment ref="I4" authorId="0" shapeId="0" xr:uid="{62F208CD-201F-44BE-B929-87E229CF4623}">
      <text>
        <r>
          <rPr>
            <b/>
            <sz val="9"/>
            <color indexed="81"/>
            <rFont val="Tahoma"/>
            <charset val="1"/>
          </rPr>
          <t>Baran: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<sst xmlns="http://schemas.openxmlformats.org/spreadsheetml/2006/main" count="8" uniqueCount="8">
  <si>
    <t>1.Sınav</t>
  </si>
  <si>
    <t>2.Sınav</t>
  </si>
  <si>
    <t>3.Sınav</t>
  </si>
  <si>
    <t>Ortalama</t>
  </si>
  <si>
    <t>Sonuç</t>
  </si>
  <si>
    <t>&lt;85 alamayan</t>
  </si>
  <si>
    <t>En az 1 tane 100</t>
  </si>
  <si>
    <t>Harfli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</si>
</sst>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9"/>
      <color indexed="81"/>
      <name val="Tahoma"/>
      <family val="2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C9000-2084-4311-90B8-51F5C66C4B71}">
  <dimension ref="A1:I16"/>
  <sheetViews>
    <sheetView tabSelected="1" workbookViewId="0">
      <selection activeCell="I2" sqref="I2"/>
    </sheetView>
  </sheetViews>
  <sheetFormatPr defaultRowHeight="14.4" x14ac:dyDescent="0.3"/>
  <cols>
    <col min="6" max="6" width="12.33203125" bestFit="1" customWidth="1"/>
    <col min="7" max="7" width="14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3">
      <c r="A2">
        <v>54</v>
      </c>
      <c r="B2">
        <v>69</v>
      </c>
      <c r="C2">
        <v>62</v>
      </c>
      <c r="D2">
        <f>AVERAGE(A2:C2)</f>
        <v>61.666666666666664</v>
      </c>
      <c r="E2" t="str">
        <f>IF(D2&gt;=50,"Geçti","Kaldı")</f>
        <v>Geçti</v>
      </c>
      <c r="F2" t="str">
        <f>IF(AND(A2&gt;=85,B2&gt;=85,C2&gt;=85),"Çalışkan","Standart")</f>
        <v>Standart</v>
      </c>
      <c r="G2" t="str">
        <f>IF(OR(A2=100,B2=100,C2=100),"100 almış","100 alamamış")</f>
        <v>100 alamamış</v>
      </c>
      <c r="H2" t="str">
        <f>IF(D2&lt;25,"FF",IF(D2&lt;45,"DD",IF(D2&lt;70,"CC",IF(D2&lt;84,"BB","A"))))</f>
        <v>CC</v>
      </c>
    </row>
    <row r="3" spans="1:9" x14ac:dyDescent="0.3">
      <c r="A3">
        <v>77</v>
      </c>
      <c r="B3">
        <v>83</v>
      </c>
      <c r="C3">
        <v>51</v>
      </c>
      <c r="D3">
        <f>AVERAGE(A3:C3)</f>
        <v>70.333333333333329</v>
      </c>
      <c r="E3" t="str">
        <f>IF(D3&gt;=50,"Geçti","Kaldı")</f>
        <v>Geçti</v>
      </c>
      <c r="F3" t="str">
        <f>IF(AND(A3&gt;=85,B3&gt;=85,C3&gt;=85),"Çalışkan","Standart")</f>
        <v>Standart</v>
      </c>
      <c r="G3" t="str">
        <f>IF(OR(A3=100,B3=100,C3=100),"100 almış","100 almamış")</f>
        <v>100 almamış</v>
      </c>
      <c r="H3" t="str">
        <f>IF(D3&lt;25,"FF",IF(D3&lt;45,"DD",IF(D3&lt;70,"CC",IF(D3&lt;85,"BB","AA"))))</f>
        <v>BB</v>
      </c>
    </row>
    <row r="4" spans="1:9" x14ac:dyDescent="0.3">
      <c r="A4">
        <v>96</v>
      </c>
      <c r="B4">
        <v>97</v>
      </c>
      <c r="C4">
        <v>97</v>
      </c>
      <c r="D4">
        <f>AVERAGE(A4:C4)</f>
        <v>96.666666666666671</v>
      </c>
      <c r="E4" t="str">
        <f>IF(D4&gt;=50,"Geçti","Kaldı")</f>
        <v>Geçti</v>
      </c>
      <c r="F4" t="str">
        <f>IF(AND(A4&gt;=85,B4&gt;=85,C4&gt;=85),"Çalışkan","Standart")</f>
        <v>Çalışkan</v>
      </c>
      <c r="G4" t="str">
        <f t="shared" ref="G4:G16" si="0">IF(OR(A4=100,B4=100,C4=100),"100 almış","100 alamamış")</f>
        <v>100 alamamış</v>
      </c>
      <c r="H4" t="str">
        <f>IF(D4&lt;25,"FF",IF(D4&lt;45,"DD",IF(D4&lt;70,"CC",IF(D4&lt;85,"BB","AA"))))</f>
        <v>AA</v>
      </c>
    </row>
    <row r="5" spans="1:9" x14ac:dyDescent="0.3">
      <c r="A5">
        <v>32</v>
      </c>
      <c r="B5">
        <v>23</v>
      </c>
      <c r="C5">
        <v>66</v>
      </c>
      <c r="D5">
        <f>AVERAGE(A5:C5)</f>
        <v>40.333333333333336</v>
      </c>
      <c r="E5" t="str">
        <f>IF(D5&gt;=50,"Geçti","Kaldı")</f>
        <v>Kaldı</v>
      </c>
      <c r="F5" t="str">
        <f>IF(AND(A5&gt;85,B5&gt;85,C5&gt;85),"Çalışkan","Standart")</f>
        <v>Standart</v>
      </c>
      <c r="G5" t="str">
        <f t="shared" ref="G5:G16" si="1">IF(OR(A5=100,B5=100,C5=100),"100 almış","100 almamış")</f>
        <v>100 almamış</v>
      </c>
      <c r="H5" t="str">
        <f>IF(D5&lt;25,"FF",IF(D5&lt;45,"DD",IF(D5&lt;70,"CC",IF(D5&lt;85,"BB","AA"))))</f>
        <v>DD</v>
      </c>
    </row>
    <row r="6" spans="1:9" x14ac:dyDescent="0.3">
      <c r="A6">
        <v>90</v>
      </c>
      <c r="B6">
        <v>90</v>
      </c>
      <c r="C6">
        <v>100</v>
      </c>
      <c r="D6">
        <f>AVERAGE(A6:C6)</f>
        <v>93.333333333333329</v>
      </c>
      <c r="E6" t="str">
        <f>IF(D6&gt;=50,"Geçti","Kaldı")</f>
        <v>Geçti</v>
      </c>
      <c r="F6" t="str">
        <f>IF(AND(A6&gt;85,B6&gt;85,C6&gt;85),"Çalışkan","Standart")</f>
        <v>Çalışkan</v>
      </c>
      <c r="G6" t="str">
        <f t="shared" ref="G6:G16" si="2">IF(OR(A6=100,B6=100,C6=100),"100 almış","100 alamamış")</f>
        <v>100 almış</v>
      </c>
      <c r="H6" t="str">
        <f t="shared" ref="H6:H16" si="3">IF(D6&lt;25,"FF",IF(D6&lt;45,"DD",IF(D6&lt;70,"CC",IF(D6&lt;84,"BB","A"))))</f>
        <v>A</v>
      </c>
    </row>
    <row r="7" spans="1:9" x14ac:dyDescent="0.3">
      <c r="A7">
        <v>0</v>
      </c>
      <c r="B7">
        <v>48</v>
      </c>
      <c r="C7">
        <v>96</v>
      </c>
      <c r="D7">
        <f>AVERAGE(A7:C7)</f>
        <v>48</v>
      </c>
      <c r="E7" t="str">
        <f>IF(D7&gt;=50,"Geçti","Kaldı")</f>
        <v>Kaldı</v>
      </c>
      <c r="F7" t="str">
        <f>IF(AND(A7&gt;85,B7&gt;85,C7&gt;85),"Çalışkan","Standart")</f>
        <v>Standart</v>
      </c>
      <c r="G7" t="str">
        <f t="shared" ref="G7:G16" si="4">IF(OR(A7=100,B7=100,C7=100),"100 almış","100 almamış")</f>
        <v>100 almamış</v>
      </c>
      <c r="H7" t="str">
        <f t="shared" ref="H7:H16" si="5">IF(D7&lt;25,"FF",IF(D7&lt;45,"DD",IF(D7&lt;70,"CC",IF(D7&lt;85,"BB","AA"))))</f>
        <v>CC</v>
      </c>
    </row>
    <row r="8" spans="1:9" x14ac:dyDescent="0.3">
      <c r="A8">
        <v>0</v>
      </c>
      <c r="B8">
        <v>7</v>
      </c>
      <c r="C8">
        <v>56</v>
      </c>
      <c r="D8">
        <f>AVERAGE(A8:C8)</f>
        <v>21</v>
      </c>
      <c r="E8" t="str">
        <f>IF(D8&gt;=50,"Geçti","Kaldı")</f>
        <v>Kaldı</v>
      </c>
      <c r="F8" t="str">
        <f t="shared" ref="F8:F16" si="6">IF(AND(A8&gt;=85,B8&gt;=85,C8&gt;=85),"Çalışkan","Standart")</f>
        <v>Standart</v>
      </c>
      <c r="G8" t="str">
        <f t="shared" ref="G8:G16" si="7">IF(OR(A8=100,B8=100,C8=100),"100 almış","100 alamamış")</f>
        <v>100 alamamış</v>
      </c>
      <c r="H8" t="str">
        <f t="shared" si="5"/>
        <v>FF</v>
      </c>
    </row>
    <row r="9" spans="1:9" x14ac:dyDescent="0.3">
      <c r="A9">
        <v>76</v>
      </c>
      <c r="B9">
        <v>9</v>
      </c>
      <c r="C9">
        <v>6</v>
      </c>
      <c r="D9">
        <f>AVERAGE(A9:C9)</f>
        <v>30.333333333333332</v>
      </c>
      <c r="E9" t="str">
        <f>IF(D9&gt;=50,"Geçti","Kaldı")</f>
        <v>Kaldı</v>
      </c>
      <c r="F9" t="str">
        <f t="shared" si="6"/>
        <v>Standart</v>
      </c>
      <c r="G9" t="str">
        <f t="shared" ref="G9:G16" si="8">IF(OR(A9=100,B9=100,C9=100),"100 almış","100 almamış")</f>
        <v>100 almamış</v>
      </c>
      <c r="H9" t="str">
        <f t="shared" si="5"/>
        <v>DD</v>
      </c>
    </row>
    <row r="10" spans="1:9" x14ac:dyDescent="0.3">
      <c r="A10">
        <v>32</v>
      </c>
      <c r="B10">
        <v>7</v>
      </c>
      <c r="C10">
        <v>0</v>
      </c>
      <c r="D10">
        <f>AVERAGE(A10:C10)</f>
        <v>13</v>
      </c>
      <c r="E10" t="str">
        <f>IF(D10&gt;=50,"Geçti","Kaldı")</f>
        <v>Kaldı</v>
      </c>
      <c r="F10" t="str">
        <f t="shared" si="6"/>
        <v>Standart</v>
      </c>
      <c r="G10" t="str">
        <f t="shared" ref="G10:G16" si="9">IF(OR(A10=100,B10=100,C10=100),"100 almış","100 alamamış")</f>
        <v>100 alamamış</v>
      </c>
      <c r="H10" t="str">
        <f t="shared" ref="H10:H16" si="10">IF(D10&lt;25,"FF",IF(D10&lt;45,"DD",IF(D10&lt;70,"CC",IF(D10&lt;84,"BB","A"))))</f>
        <v>FF</v>
      </c>
    </row>
    <row r="11" spans="1:9" x14ac:dyDescent="0.3">
      <c r="A11">
        <v>35</v>
      </c>
      <c r="B11">
        <v>96</v>
      </c>
      <c r="C11">
        <v>53</v>
      </c>
      <c r="D11">
        <f>AVERAGE(A11:C11)</f>
        <v>61.333333333333336</v>
      </c>
      <c r="E11" t="str">
        <f>IF(D11&gt;=50,"Geçti","Kaldı")</f>
        <v>Geçti</v>
      </c>
      <c r="F11" t="str">
        <f t="shared" ref="F11:F16" si="11">IF(AND(A11&gt;85,B11&gt;85,C11&gt;85),"Çalışkan","Standart")</f>
        <v>Standart</v>
      </c>
      <c r="G11" t="str">
        <f t="shared" ref="G11:G16" si="12">IF(OR(A11=100,B11=100,C11=100),"100 almış","100 almamış")</f>
        <v>100 almamış</v>
      </c>
      <c r="H11" t="str">
        <f t="shared" ref="H11:H16" si="13">IF(D11&lt;25,"FF",IF(D11&lt;45,"DD",IF(D11&lt;70,"CC",IF(D11&lt;85,"BB","AA"))))</f>
        <v>CC</v>
      </c>
    </row>
    <row r="12" spans="1:9" x14ac:dyDescent="0.3">
      <c r="A12">
        <v>57</v>
      </c>
      <c r="B12">
        <v>87</v>
      </c>
      <c r="C12">
        <v>100</v>
      </c>
      <c r="D12">
        <f>AVERAGE(A12:C12)</f>
        <v>81.333333333333329</v>
      </c>
      <c r="E12" t="str">
        <f>IF(D12&gt;=50,"Geçti","Kaldı")</f>
        <v>Geçti</v>
      </c>
      <c r="F12" t="str">
        <f t="shared" si="11"/>
        <v>Standart</v>
      </c>
      <c r="G12" t="str">
        <f t="shared" ref="G12:G16" si="14">IF(OR(A12=100,B12=100,C12=100),"100 almış","100 alamamış")</f>
        <v>100 almış</v>
      </c>
      <c r="H12" t="str">
        <f t="shared" si="13"/>
        <v>BB</v>
      </c>
    </row>
    <row r="13" spans="1:9" x14ac:dyDescent="0.3">
      <c r="A13">
        <v>30</v>
      </c>
      <c r="B13">
        <v>5</v>
      </c>
      <c r="C13">
        <v>68</v>
      </c>
      <c r="D13">
        <f>AVERAGE(A13:C13)</f>
        <v>34.333333333333336</v>
      </c>
      <c r="E13" t="str">
        <f>IF(D13&gt;=50,"Geçti","Kaldı")</f>
        <v>Kaldı</v>
      </c>
      <c r="F13" t="str">
        <f t="shared" si="11"/>
        <v>Standart</v>
      </c>
      <c r="G13" t="str">
        <f t="shared" ref="G13:G16" si="15">IF(OR(A13=100,B13=100,C13=100),"100 almış","100 almamış")</f>
        <v>100 almamış</v>
      </c>
      <c r="H13" t="str">
        <f t="shared" si="13"/>
        <v>DD</v>
      </c>
    </row>
    <row r="14" spans="1:9" x14ac:dyDescent="0.3">
      <c r="A14">
        <v>1</v>
      </c>
      <c r="B14">
        <v>0</v>
      </c>
      <c r="C14">
        <v>65</v>
      </c>
      <c r="D14">
        <f>AVERAGE(A14:C14)</f>
        <v>22</v>
      </c>
      <c r="E14" t="str">
        <f>IF(D14&gt;=50,"Geçti","Kaldı")</f>
        <v>Kaldı</v>
      </c>
      <c r="F14" t="str">
        <f t="shared" ref="F14:F16" si="16">IF(AND(A14&gt;=85,B14&gt;=85,C14&gt;=85),"Çalışkan","Standart")</f>
        <v>Standart</v>
      </c>
      <c r="G14" t="str">
        <f t="shared" ref="G14:G16" si="17">IF(OR(A14=100,B14=100,C14=100),"100 almış","100 alamamış")</f>
        <v>100 alamamış</v>
      </c>
      <c r="H14" t="str">
        <f t="shared" ref="H14:H16" si="18">IF(D14&lt;25,"FF",IF(D14&lt;45,"DD",IF(D14&lt;70,"CC",IF(D14&lt;84,"BB","A"))))</f>
        <v>FF</v>
      </c>
    </row>
    <row r="15" spans="1:9" x14ac:dyDescent="0.3">
      <c r="A15">
        <v>51</v>
      </c>
      <c r="B15">
        <v>62</v>
      </c>
      <c r="C15">
        <v>39</v>
      </c>
      <c r="D15">
        <f>AVERAGE(A15:C15)</f>
        <v>50.666666666666664</v>
      </c>
      <c r="E15" t="str">
        <f>IF(D15&gt;=50,"Geçti","Kaldı")</f>
        <v>Geçti</v>
      </c>
      <c r="F15" t="str">
        <f t="shared" si="16"/>
        <v>Standart</v>
      </c>
      <c r="G15" t="str">
        <f t="shared" ref="G15:G16" si="19">IF(OR(A15=100,B15=100,C15=100),"100 almış","100 almamış")</f>
        <v>100 almamış</v>
      </c>
      <c r="H15" t="str">
        <f t="shared" ref="H15:H16" si="20">IF(D15&lt;25,"FF",IF(D15&lt;45,"DD",IF(D15&lt;70,"CC",IF(D15&lt;85,"BB","AA"))))</f>
        <v>CC</v>
      </c>
    </row>
    <row r="16" spans="1:9" x14ac:dyDescent="0.3">
      <c r="A16">
        <v>63</v>
      </c>
      <c r="B16">
        <v>14</v>
      </c>
      <c r="C16">
        <v>73</v>
      </c>
      <c r="D16">
        <f>AVERAGE(A16:C16)</f>
        <v>50</v>
      </c>
      <c r="E16" t="str">
        <f>IF(D16&gt;=50,"Geçti","Kaldı")</f>
        <v>Geçti</v>
      </c>
      <c r="F16" t="str">
        <f t="shared" si="16"/>
        <v>Standart</v>
      </c>
      <c r="G16" t="str">
        <f t="shared" ref="G16" si="21">IF(OR(A16=100,B16=100,C16=100),"100 almış","100 alamamış")</f>
        <v>100 alamamış</v>
      </c>
      <c r="H16" t="str">
        <f t="shared" si="20"/>
        <v>CC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Mavuzer</dc:creator>
  <cp:lastModifiedBy>baran Mavuzer</cp:lastModifiedBy>
  <dcterms:created xsi:type="dcterms:W3CDTF">2026-01-05T12:34:19Z</dcterms:created>
  <dcterms:modified xsi:type="dcterms:W3CDTF">2026-01-05T20:20:52Z</dcterms:modified>
</cp:coreProperties>
</file>