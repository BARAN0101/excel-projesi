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b2e2652b707efe84/Desktop/Excel/"/>
    </mc:Choice>
  </mc:AlternateContent>
  <xr:revisionPtr revIDLastSave="1" documentId="8_{5AC11E54-76B3-41C4-AEAF-F5C360B192AC}" xr6:coauthVersionLast="47" xr6:coauthVersionMax="47" xr10:uidLastSave="{EFAA21C3-79FB-412F-9AC5-B4A3591D24EC}"/>
  <bookViews>
    <workbookView xWindow="-108" yWindow="-108" windowWidth="23256" windowHeight="12456" activeTab="3" xr2:uid="{C71368CE-24D5-42B8-85F5-B813FD8575A4}"/>
  </bookViews>
  <sheets>
    <sheet name="Sayfa1" sheetId="1" r:id="rId1"/>
    <sheet name="Sayfa2" sheetId="2" r:id="rId2"/>
    <sheet name="Sayfa3" sheetId="3" r:id="rId3"/>
    <sheet name="Sayfa4" sheetId="4" r:id="rId4"/>
  </sheets>
  <definedNames>
    <definedName name="DışVeri_1" localSheetId="3" hidden="1">Sayfa4!$A$1:$AD$17</definedName>
    <definedName name="Dilimleyici_Sütun1">#N/A</definedName>
    <definedName name="Dilimleyici_Sütun10">#N/A</definedName>
    <definedName name="Dilimleyici_Sütun2">#N/A</definedName>
    <definedName name="Dilimleyici_Sütun4">#N/A</definedName>
    <definedName name="Dilimleyici_Sütun6">#N/A</definedName>
    <definedName name="Dilimleyici_Sütun8">#N/A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0" i="2" l="1"/>
  <c r="V30" i="2"/>
  <c r="J29" i="2"/>
  <c r="J28" i="2"/>
  <c r="J27" i="2"/>
  <c r="J26" i="2"/>
  <c r="J25" i="2"/>
  <c r="J24" i="2"/>
  <c r="J23" i="2"/>
  <c r="J22" i="2"/>
  <c r="J21" i="2"/>
  <c r="J20" i="2"/>
  <c r="J19" i="2"/>
  <c r="J18" i="2"/>
  <c r="J17" i="2"/>
  <c r="J16" i="2"/>
  <c r="J15" i="2"/>
  <c r="J10" i="1"/>
  <c r="J11" i="1"/>
  <c r="J12" i="1"/>
  <c r="J13" i="1"/>
  <c r="J14" i="1"/>
  <c r="J15" i="1"/>
  <c r="J16" i="1"/>
  <c r="J17" i="1"/>
  <c r="J9" i="1"/>
  <c r="J4" i="1"/>
  <c r="J5" i="1"/>
  <c r="J6" i="1"/>
  <c r="J7" i="1"/>
  <c r="J8" i="1"/>
  <c r="J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36230F-3B4B-4474-A591-EF91C660BE2A}" keepAlive="1" name="Sorgu - Veriler" description="Çalışma kitabındaki 'Veriler' sorgusuna yönelik bağlantı." type="5" refreshedVersion="8" background="1" saveData="1">
    <dbPr connection="Provider=Microsoft.Mashup.OleDb.1;Data Source=$Workbook$;Location=Veriler;Extended Properties=&quot;&quot;" command="SELECT * FROM [Veriler]"/>
  </connection>
</connections>
</file>

<file path=xl/sharedStrings.xml><?xml version="1.0" encoding="utf-8"?>
<sst xmlns="http://schemas.openxmlformats.org/spreadsheetml/2006/main" count="669" uniqueCount="146">
  <si>
    <t>İsim-Soyisim</t>
  </si>
  <si>
    <t>Çalışan ID</t>
  </si>
  <si>
    <t>Evlilik Durumu</t>
  </si>
  <si>
    <t>Cinsiyet</t>
  </si>
  <si>
    <t>Departman</t>
  </si>
  <si>
    <t>Perf.Skoru</t>
  </si>
  <si>
    <t>Maaş</t>
  </si>
  <si>
    <t>Pozisyon</t>
  </si>
  <si>
    <t>ID</t>
  </si>
  <si>
    <t>Şehir</t>
  </si>
  <si>
    <t>Posta Kodu</t>
  </si>
  <si>
    <t>Doğum Tarihi</t>
  </si>
  <si>
    <t>İşe Giriş Tarihi</t>
  </si>
  <si>
    <t>Ayrılma Tarihi</t>
  </si>
  <si>
    <t>Ayrılma Nedeni</t>
  </si>
  <si>
    <t>Çalışma Durumu</t>
  </si>
  <si>
    <t>Yöneticisin</t>
  </si>
  <si>
    <t>Yönetici ID</t>
  </si>
  <si>
    <t>İşe alım kaynağı</t>
  </si>
  <si>
    <t>Performans</t>
  </si>
  <si>
    <t>Wilson K Adinolti</t>
  </si>
  <si>
    <t>Carol Anderson</t>
  </si>
  <si>
    <t>Hector Barbosa</t>
  </si>
  <si>
    <t>Dianan Blount</t>
  </si>
  <si>
    <t>Norman Bates</t>
  </si>
  <si>
    <t>Frank Boothh</t>
  </si>
  <si>
    <t xml:space="preserve"> Mia Brown</t>
  </si>
  <si>
    <t>Trina Alahbe</t>
  </si>
  <si>
    <t>Alejandro Bacong</t>
  </si>
  <si>
    <t>Thomas Barbara</t>
  </si>
  <si>
    <t>Scott Becker</t>
  </si>
  <si>
    <t>Donna Brill</t>
  </si>
  <si>
    <t>Nader Barton</t>
  </si>
  <si>
    <t>Trina Alagha</t>
  </si>
  <si>
    <t>Linda Anderson</t>
  </si>
  <si>
    <t>Bekar</t>
  </si>
  <si>
    <t>Evli</t>
  </si>
  <si>
    <t>Erkek</t>
  </si>
  <si>
    <t>Kadın</t>
  </si>
  <si>
    <t>Kadıın</t>
  </si>
  <si>
    <t>Production</t>
  </si>
  <si>
    <t>Sr.DBA</t>
  </si>
  <si>
    <t>Software Eng</t>
  </si>
  <si>
    <t>Data Anlysis</t>
  </si>
  <si>
    <t>MA</t>
  </si>
  <si>
    <t>TX</t>
  </si>
  <si>
    <t>Hala Çalışıyor</t>
  </si>
  <si>
    <t>Kariyer Değişimi</t>
  </si>
  <si>
    <t>Okula Dönüş</t>
  </si>
  <si>
    <t>Başka bir planı var</t>
  </si>
  <si>
    <t>Emekli Oluyor</t>
  </si>
  <si>
    <t>Çalışıyor</t>
  </si>
  <si>
    <t>İşten Ayrıldı</t>
  </si>
  <si>
    <t>IT/IS</t>
  </si>
  <si>
    <t>Software eng</t>
  </si>
  <si>
    <t>Jordi Alba</t>
  </si>
  <si>
    <t>Dani Alves</t>
  </si>
  <si>
    <t>Sergio Busquets</t>
  </si>
  <si>
    <t>Pedri</t>
  </si>
  <si>
    <t>İniesta</t>
  </si>
  <si>
    <t>Xavi</t>
  </si>
  <si>
    <t>Xabi Alonso</t>
  </si>
  <si>
    <t>Mıcheal Carrick</t>
  </si>
  <si>
    <t>Steven Gerrard</t>
  </si>
  <si>
    <t>Dominik Dzobozslai</t>
  </si>
  <si>
    <t>David Silva</t>
  </si>
  <si>
    <t>Yaya Toure</t>
  </si>
  <si>
    <t>Pique</t>
  </si>
  <si>
    <t>Puyol</t>
  </si>
  <si>
    <t>Capdevilla</t>
  </si>
  <si>
    <t>Linkedln</t>
  </si>
  <si>
    <t>Indeed</t>
  </si>
  <si>
    <t>Google Sea</t>
  </si>
  <si>
    <t>İş Fuarı</t>
  </si>
  <si>
    <t>Kariyer.net</t>
  </si>
  <si>
    <t>Mükemmel</t>
  </si>
  <si>
    <t>Nötr</t>
  </si>
  <si>
    <t>NÖTR</t>
  </si>
  <si>
    <t>Sütun1</t>
  </si>
  <si>
    <t>Sütun2</t>
  </si>
  <si>
    <t>Sütun3</t>
  </si>
  <si>
    <t>Sütun4</t>
  </si>
  <si>
    <t>Sütun5</t>
  </si>
  <si>
    <t>Sütun6</t>
  </si>
  <si>
    <t>Sütun7</t>
  </si>
  <si>
    <t>Sütun8</t>
  </si>
  <si>
    <t>Sütun9</t>
  </si>
  <si>
    <t>Sütun10</t>
  </si>
  <si>
    <t>Sütun11</t>
  </si>
  <si>
    <t>Sütun12</t>
  </si>
  <si>
    <t>Sütun13</t>
  </si>
  <si>
    <t>Sütun14</t>
  </si>
  <si>
    <t>Sütun15</t>
  </si>
  <si>
    <t>Sütun16</t>
  </si>
  <si>
    <t>Sütun17</t>
  </si>
  <si>
    <t>Sütun18</t>
  </si>
  <si>
    <t>Sütun19</t>
  </si>
  <si>
    <t>Sütun20</t>
  </si>
  <si>
    <t>Sütun21</t>
  </si>
  <si>
    <t>Sütun22</t>
  </si>
  <si>
    <t>%20 fazlası</t>
  </si>
  <si>
    <t>Toplam</t>
  </si>
  <si>
    <t>Sütun1.1</t>
  </si>
  <si>
    <t>Sütun1.2</t>
  </si>
  <si>
    <t>Sütun1.3</t>
  </si>
  <si>
    <t>Dizin</t>
  </si>
  <si>
    <t>Dizin.1</t>
  </si>
  <si>
    <t>Dizin.2</t>
  </si>
  <si>
    <t>Dizin.3</t>
  </si>
  <si>
    <t>Dizin.4</t>
  </si>
  <si>
    <t>küçük harf</t>
  </si>
  <si>
    <t>performans</t>
  </si>
  <si>
    <t>Wilson</t>
  </si>
  <si>
    <t>K</t>
  </si>
  <si>
    <t>Adinolti</t>
  </si>
  <si>
    <t>Erkekler</t>
  </si>
  <si>
    <t>mükemmel</t>
  </si>
  <si>
    <t>Carol</t>
  </si>
  <si>
    <t>Anderson</t>
  </si>
  <si>
    <t>nötr</t>
  </si>
  <si>
    <t>Hector</t>
  </si>
  <si>
    <t>Leandro Barbosa</t>
  </si>
  <si>
    <t>Kadınlar</t>
  </si>
  <si>
    <t>Dianan</t>
  </si>
  <si>
    <t>Blount</t>
  </si>
  <si>
    <t>Norman</t>
  </si>
  <si>
    <t>Bates</t>
  </si>
  <si>
    <t>Frank</t>
  </si>
  <si>
    <t>Boothh</t>
  </si>
  <si>
    <t/>
  </si>
  <si>
    <t>Mia</t>
  </si>
  <si>
    <t>Brown</t>
  </si>
  <si>
    <t>Trina</t>
  </si>
  <si>
    <t>Alahbe</t>
  </si>
  <si>
    <t>Alejandro</t>
  </si>
  <si>
    <t>Bacong</t>
  </si>
  <si>
    <t>Thomas</t>
  </si>
  <si>
    <t>Barbara</t>
  </si>
  <si>
    <t>Scott</t>
  </si>
  <si>
    <t>Becker</t>
  </si>
  <si>
    <t>Donna</t>
  </si>
  <si>
    <t>Brill</t>
  </si>
  <si>
    <t>Nader</t>
  </si>
  <si>
    <t>Barton</t>
  </si>
  <si>
    <t>Alagha</t>
  </si>
  <si>
    <t>Linda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</si>
</sst>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charset val="162"/>
      <scheme val="minor"/>
    </font>
    <font>
      <sz val="8"/>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o Stili 1" pivot="0" count="0" xr9:uid="{0575F704-4AD2-4F01-BF5F-8EFFD6B6DFD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7620</xdr:rowOff>
    </xdr:from>
    <xdr:to>
      <xdr:col>2</xdr:col>
      <xdr:colOff>563880</xdr:colOff>
      <xdr:row>11</xdr:row>
      <xdr:rowOff>167639</xdr:rowOff>
    </xdr:to>
    <mc:AlternateContent xmlns:mc="http://schemas.openxmlformats.org/markup-compatibility/2006" xmlns:sle15="http://schemas.microsoft.com/office/drawing/2012/slicer">
      <mc:Choice Requires="sle15">
        <xdr:graphicFrame macro="">
          <xdr:nvGraphicFramePr>
            <xdr:cNvPr id="8" name="Sütun1">
              <a:extLst>
                <a:ext uri="{FF2B5EF4-FFF2-40B4-BE49-F238E27FC236}">
                  <a16:creationId xmlns:a16="http://schemas.microsoft.com/office/drawing/2014/main" id="{887975DC-EF7E-C710-F843-C30F8E8BB404}"/>
                </a:ext>
              </a:extLst>
            </xdr:cNvPr>
            <xdr:cNvGraphicFramePr/>
          </xdr:nvGraphicFramePr>
          <xdr:xfrm>
            <a:off x="0" y="0"/>
            <a:ext cx="0" cy="0"/>
          </xdr:xfrm>
          <a:graphic>
            <a:graphicData uri="http://schemas.microsoft.com/office/drawing/2010/slicer">
              <sle:slicer xmlns:sle="http://schemas.microsoft.com/office/drawing/2010/slicer" name="Sütun1"/>
            </a:graphicData>
          </a:graphic>
        </xdr:graphicFrame>
      </mc:Choice>
      <mc:Fallback xmlns="">
        <xdr:sp macro="" textlink="">
          <xdr:nvSpPr>
            <xdr:cNvPr id="0" name=""/>
            <xdr:cNvSpPr>
              <a:spLocks noTextEdit="1"/>
            </xdr:cNvSpPr>
          </xdr:nvSpPr>
          <xdr:spPr>
            <a:xfrm>
              <a:off x="0" y="7620"/>
              <a:ext cx="1783080" cy="2171699"/>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2</xdr:col>
      <xdr:colOff>518160</xdr:colOff>
      <xdr:row>0</xdr:row>
      <xdr:rowOff>0</xdr:rowOff>
    </xdr:from>
    <xdr:to>
      <xdr:col>5</xdr:col>
      <xdr:colOff>518160</xdr:colOff>
      <xdr:row>11</xdr:row>
      <xdr:rowOff>160019</xdr:rowOff>
    </xdr:to>
    <mc:AlternateContent xmlns:mc="http://schemas.openxmlformats.org/markup-compatibility/2006" xmlns:sle15="http://schemas.microsoft.com/office/drawing/2012/slicer">
      <mc:Choice Requires="sle15">
        <xdr:graphicFrame macro="">
          <xdr:nvGraphicFramePr>
            <xdr:cNvPr id="9" name="Sütun2">
              <a:extLst>
                <a:ext uri="{FF2B5EF4-FFF2-40B4-BE49-F238E27FC236}">
                  <a16:creationId xmlns:a16="http://schemas.microsoft.com/office/drawing/2014/main" id="{522FE367-70AC-B459-D99D-344695C92D6E}"/>
                </a:ext>
              </a:extLst>
            </xdr:cNvPr>
            <xdr:cNvGraphicFramePr/>
          </xdr:nvGraphicFramePr>
          <xdr:xfrm>
            <a:off x="0" y="0"/>
            <a:ext cx="0" cy="0"/>
          </xdr:xfrm>
          <a:graphic>
            <a:graphicData uri="http://schemas.microsoft.com/office/drawing/2010/slicer">
              <sle:slicer xmlns:sle="http://schemas.microsoft.com/office/drawing/2010/slicer" name="Sütun2"/>
            </a:graphicData>
          </a:graphic>
        </xdr:graphicFrame>
      </mc:Choice>
      <mc:Fallback xmlns="">
        <xdr:sp macro="" textlink="">
          <xdr:nvSpPr>
            <xdr:cNvPr id="0" name=""/>
            <xdr:cNvSpPr>
              <a:spLocks noTextEdit="1"/>
            </xdr:cNvSpPr>
          </xdr:nvSpPr>
          <xdr:spPr>
            <a:xfrm>
              <a:off x="1737360" y="0"/>
              <a:ext cx="1828800" cy="2171699"/>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5</xdr:col>
      <xdr:colOff>525780</xdr:colOff>
      <xdr:row>0</xdr:row>
      <xdr:rowOff>1</xdr:rowOff>
    </xdr:from>
    <xdr:to>
      <xdr:col>8</xdr:col>
      <xdr:colOff>525780</xdr:colOff>
      <xdr:row>12</xdr:row>
      <xdr:rowOff>15241</xdr:rowOff>
    </xdr:to>
    <mc:AlternateContent xmlns:mc="http://schemas.openxmlformats.org/markup-compatibility/2006" xmlns:sle15="http://schemas.microsoft.com/office/drawing/2012/slicer">
      <mc:Choice Requires="sle15">
        <xdr:graphicFrame macro="">
          <xdr:nvGraphicFramePr>
            <xdr:cNvPr id="10" name="Sütun4">
              <a:extLst>
                <a:ext uri="{FF2B5EF4-FFF2-40B4-BE49-F238E27FC236}">
                  <a16:creationId xmlns:a16="http://schemas.microsoft.com/office/drawing/2014/main" id="{9AB938E0-5491-8761-52A8-1DDFFAED07AF}"/>
                </a:ext>
              </a:extLst>
            </xdr:cNvPr>
            <xdr:cNvGraphicFramePr/>
          </xdr:nvGraphicFramePr>
          <xdr:xfrm>
            <a:off x="0" y="0"/>
            <a:ext cx="0" cy="0"/>
          </xdr:xfrm>
          <a:graphic>
            <a:graphicData uri="http://schemas.microsoft.com/office/drawing/2010/slicer">
              <sle:slicer xmlns:sle="http://schemas.microsoft.com/office/drawing/2010/slicer" name="Sütun4"/>
            </a:graphicData>
          </a:graphic>
        </xdr:graphicFrame>
      </mc:Choice>
      <mc:Fallback xmlns="">
        <xdr:sp macro="" textlink="">
          <xdr:nvSpPr>
            <xdr:cNvPr id="0" name=""/>
            <xdr:cNvSpPr>
              <a:spLocks noTextEdit="1"/>
            </xdr:cNvSpPr>
          </xdr:nvSpPr>
          <xdr:spPr>
            <a:xfrm>
              <a:off x="3573780" y="1"/>
              <a:ext cx="1828800" cy="2209800"/>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8</xdr:col>
      <xdr:colOff>487680</xdr:colOff>
      <xdr:row>0</xdr:row>
      <xdr:rowOff>0</xdr:rowOff>
    </xdr:from>
    <xdr:to>
      <xdr:col>11</xdr:col>
      <xdr:colOff>487680</xdr:colOff>
      <xdr:row>11</xdr:row>
      <xdr:rowOff>137160</xdr:rowOff>
    </xdr:to>
    <mc:AlternateContent xmlns:mc="http://schemas.openxmlformats.org/markup-compatibility/2006" xmlns:sle15="http://schemas.microsoft.com/office/drawing/2012/slicer">
      <mc:Choice Requires="sle15">
        <xdr:graphicFrame macro="">
          <xdr:nvGraphicFramePr>
            <xdr:cNvPr id="11" name="Sütun6">
              <a:extLst>
                <a:ext uri="{FF2B5EF4-FFF2-40B4-BE49-F238E27FC236}">
                  <a16:creationId xmlns:a16="http://schemas.microsoft.com/office/drawing/2014/main" id="{A05135D9-3A4D-998C-9E7B-56B10B8BAD33}"/>
                </a:ext>
              </a:extLst>
            </xdr:cNvPr>
            <xdr:cNvGraphicFramePr/>
          </xdr:nvGraphicFramePr>
          <xdr:xfrm>
            <a:off x="0" y="0"/>
            <a:ext cx="0" cy="0"/>
          </xdr:xfrm>
          <a:graphic>
            <a:graphicData uri="http://schemas.microsoft.com/office/drawing/2010/slicer">
              <sle:slicer xmlns:sle="http://schemas.microsoft.com/office/drawing/2010/slicer" name="Sütun6"/>
            </a:graphicData>
          </a:graphic>
        </xdr:graphicFrame>
      </mc:Choice>
      <mc:Fallback xmlns="">
        <xdr:sp macro="" textlink="">
          <xdr:nvSpPr>
            <xdr:cNvPr id="0" name=""/>
            <xdr:cNvSpPr>
              <a:spLocks noTextEdit="1"/>
            </xdr:cNvSpPr>
          </xdr:nvSpPr>
          <xdr:spPr>
            <a:xfrm>
              <a:off x="5364480" y="0"/>
              <a:ext cx="1828800" cy="2148840"/>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11</xdr:col>
      <xdr:colOff>449580</xdr:colOff>
      <xdr:row>0</xdr:row>
      <xdr:rowOff>0</xdr:rowOff>
    </xdr:from>
    <xdr:to>
      <xdr:col>14</xdr:col>
      <xdr:colOff>449580</xdr:colOff>
      <xdr:row>11</xdr:row>
      <xdr:rowOff>76199</xdr:rowOff>
    </xdr:to>
    <mc:AlternateContent xmlns:mc="http://schemas.openxmlformats.org/markup-compatibility/2006" xmlns:sle15="http://schemas.microsoft.com/office/drawing/2012/slicer">
      <mc:Choice Requires="sle15">
        <xdr:graphicFrame macro="">
          <xdr:nvGraphicFramePr>
            <xdr:cNvPr id="12" name="Sütun8">
              <a:extLst>
                <a:ext uri="{FF2B5EF4-FFF2-40B4-BE49-F238E27FC236}">
                  <a16:creationId xmlns:a16="http://schemas.microsoft.com/office/drawing/2014/main" id="{42F9F09B-5D8B-E549-4BF7-250CEDFAB383}"/>
                </a:ext>
              </a:extLst>
            </xdr:cNvPr>
            <xdr:cNvGraphicFramePr/>
          </xdr:nvGraphicFramePr>
          <xdr:xfrm>
            <a:off x="0" y="0"/>
            <a:ext cx="0" cy="0"/>
          </xdr:xfrm>
          <a:graphic>
            <a:graphicData uri="http://schemas.microsoft.com/office/drawing/2010/slicer">
              <sle:slicer xmlns:sle="http://schemas.microsoft.com/office/drawing/2010/slicer" name="Sütun8"/>
            </a:graphicData>
          </a:graphic>
        </xdr:graphicFrame>
      </mc:Choice>
      <mc:Fallback xmlns="">
        <xdr:sp macro="" textlink="">
          <xdr:nvSpPr>
            <xdr:cNvPr id="0" name=""/>
            <xdr:cNvSpPr>
              <a:spLocks noTextEdit="1"/>
            </xdr:cNvSpPr>
          </xdr:nvSpPr>
          <xdr:spPr>
            <a:xfrm>
              <a:off x="7155180" y="0"/>
              <a:ext cx="1828800" cy="2087879"/>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absolute">
    <xdr:from>
      <xdr:col>14</xdr:col>
      <xdr:colOff>434340</xdr:colOff>
      <xdr:row>0</xdr:row>
      <xdr:rowOff>0</xdr:rowOff>
    </xdr:from>
    <xdr:to>
      <xdr:col>17</xdr:col>
      <xdr:colOff>434340</xdr:colOff>
      <xdr:row>12</xdr:row>
      <xdr:rowOff>15240</xdr:rowOff>
    </xdr:to>
    <mc:AlternateContent xmlns:mc="http://schemas.openxmlformats.org/markup-compatibility/2006" xmlns:sle15="http://schemas.microsoft.com/office/drawing/2012/slicer">
      <mc:Choice Requires="sle15">
        <xdr:graphicFrame macro="">
          <xdr:nvGraphicFramePr>
            <xdr:cNvPr id="13" name="Sütun10">
              <a:extLst>
                <a:ext uri="{FF2B5EF4-FFF2-40B4-BE49-F238E27FC236}">
                  <a16:creationId xmlns:a16="http://schemas.microsoft.com/office/drawing/2014/main" id="{79845863-38CC-8A76-601F-A3EFE9BE3029}"/>
                </a:ext>
              </a:extLst>
            </xdr:cNvPr>
            <xdr:cNvGraphicFramePr/>
          </xdr:nvGraphicFramePr>
          <xdr:xfrm>
            <a:off x="0" y="0"/>
            <a:ext cx="0" cy="0"/>
          </xdr:xfrm>
          <a:graphic>
            <a:graphicData uri="http://schemas.microsoft.com/office/drawing/2010/slicer">
              <sle:slicer xmlns:sle="http://schemas.microsoft.com/office/drawing/2010/slicer" name="Sütun10"/>
            </a:graphicData>
          </a:graphic>
        </xdr:graphicFrame>
      </mc:Choice>
      <mc:Fallback xmlns="">
        <xdr:sp macro="" textlink="">
          <xdr:nvSpPr>
            <xdr:cNvPr id="0" name=""/>
            <xdr:cNvSpPr>
              <a:spLocks noTextEdit="1"/>
            </xdr:cNvSpPr>
          </xdr:nvSpPr>
          <xdr:spPr>
            <a:xfrm>
              <a:off x="8968740" y="0"/>
              <a:ext cx="1828800" cy="2209800"/>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892A3885-FD35-493A-9F14-817B16656600}" autoFormatId="16" applyNumberFormats="0" applyBorderFormats="0" applyFontFormats="0" applyPatternFormats="0" applyAlignmentFormats="0" applyWidthHeightFormats="0">
  <queryTableRefresh nextId="45">
    <queryTableFields count="30">
      <queryTableField id="13" name="Sütun1.1" tableColumnId="14"/>
      <queryTableField id="14" name="Sütun1.2" tableColumnId="15"/>
      <queryTableField id="15" name="Sütun1.3" tableColumnId="16"/>
      <queryTableField id="2" name="Sütun2" tableColumnId="2"/>
      <queryTableField id="16" name="Sütun3" tableColumnId="17"/>
      <queryTableField id="3" name="Sütun4" tableColumnId="3"/>
      <queryTableField id="17" name="Sütun5" tableColumnId="18"/>
      <queryTableField id="4" name="Sütun6" tableColumnId="4"/>
      <queryTableField id="18" name="Sütun7" tableColumnId="19"/>
      <queryTableField id="5" name="Sütun8" tableColumnId="5"/>
      <queryTableField id="19" name="Sütun9" tableColumnId="20"/>
      <queryTableField id="6" name="Sütun10" tableColumnId="6"/>
      <queryTableField id="20" name="Sütun11" tableColumnId="21"/>
      <queryTableField id="7" name="Sütun12" tableColumnId="7"/>
      <queryTableField id="21" name="Sütun13" tableColumnId="22"/>
      <queryTableField id="8" name="Sütun14" tableColumnId="8"/>
      <queryTableField id="22" name="Sütun15" tableColumnId="23"/>
      <queryTableField id="9" name="Sütun16" tableColumnId="9"/>
      <queryTableField id="23" name="Sütun17" tableColumnId="24"/>
      <queryTableField id="10" name="Sütun18" tableColumnId="10"/>
      <queryTableField id="24" name="Sütun19" tableColumnId="25"/>
      <queryTableField id="11" name="Sütun20" tableColumnId="11"/>
      <queryTableField id="25" name="Sütun21" tableColumnId="26"/>
      <queryTableField id="12" name="Sütun22" tableColumnId="12"/>
      <queryTableField id="26" name="Dizin" tableColumnId="27"/>
      <queryTableField id="27" name="Dizin.1" tableColumnId="28"/>
      <queryTableField id="28" name="Dizin.2" tableColumnId="29"/>
      <queryTableField id="29" name="Dizin.3" tableColumnId="30"/>
      <queryTableField id="30" name="Dizin.4" tableColumnId="31"/>
      <queryTableField id="31" name="küçük harf"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ütun1" xr10:uid="{EC482635-8AAD-4989-9777-BE4196661C74}" sourceName="Sütun1">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ütun2" xr10:uid="{8E6787DC-250C-482E-A696-628FA7A807C7}" sourceName="Sütun2">
  <extLst>
    <x:ext xmlns:x15="http://schemas.microsoft.com/office/spreadsheetml/2010/11/main" uri="{2F2917AC-EB37-4324-AD4E-5DD8C200BD13}">
      <x15:tableSlicerCache tableId="6"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ütun4" xr10:uid="{164D0E07-FD63-4273-856C-55C93245F040}" sourceName="Sütun4">
  <extLst>
    <x:ext xmlns:x15="http://schemas.microsoft.com/office/spreadsheetml/2010/11/main" uri="{2F2917AC-EB37-4324-AD4E-5DD8C200BD13}">
      <x15:tableSlicerCache tableId="6"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ütun6" xr10:uid="{47C8FF35-D332-40F5-AF53-11B389A22729}" sourceName="Sütun6">
  <extLst>
    <x:ext xmlns:x15="http://schemas.microsoft.com/office/spreadsheetml/2010/11/main" uri="{2F2917AC-EB37-4324-AD4E-5DD8C200BD13}">
      <x15:tableSlicerCache tableId="6"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ütun8" xr10:uid="{48B05031-2814-4438-948E-46481A80BC64}" sourceName="Sütun8">
  <extLst>
    <x:ext xmlns:x15="http://schemas.microsoft.com/office/spreadsheetml/2010/11/main" uri="{2F2917AC-EB37-4324-AD4E-5DD8C200BD13}">
      <x15:tableSlicerCache tableId="6"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ütun10" xr10:uid="{F64AAB91-C4BA-41DC-A649-A2D682B02194}" sourceName="Sütun10">
  <extLst>
    <x:ext xmlns:x15="http://schemas.microsoft.com/office/spreadsheetml/2010/11/main" uri="{2F2917AC-EB37-4324-AD4E-5DD8C200BD13}">
      <x15:tableSlicerCache tableId="6"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ütun1" xr10:uid="{82602139-55C0-4ACA-88AD-7BDA2BB42F49}" cache="Dilimleyici_Sütun1" caption="Sütun1" columnCount="2" style="SlicerStyleLight2" rowHeight="234950"/>
  <slicer name="Sütun2" xr10:uid="{710D6483-D1F7-40EA-BC7F-5102D4461B5F}" cache="Dilimleyici_Sütun2" caption="Sütun2" columnCount="2" style="SlicerStyleLight2" rowHeight="234950"/>
  <slicer name="Sütun4" xr10:uid="{9492F805-459C-4752-96E1-1F52C5063021}" cache="Dilimleyici_Sütun4" caption="Sütun4" columnCount="2" style="SlicerStyleLight2" rowHeight="234950"/>
  <slicer name="Sütun6" xr10:uid="{64375FC6-6200-4753-A844-9041ACA0C0B5}" cache="Dilimleyici_Sütun6" caption="Sütun6" columnCount="2" style="SlicerStyleDark2" rowHeight="234950"/>
  <slicer name="Sütun8" xr10:uid="{E43ED356-6639-4DB4-908A-202C83AEA79C}" cache="Dilimleyici_Sütun8" caption="Sütun8" columnCount="2" style="SlicerStyleDark2" rowHeight="234950"/>
  <slicer name="Sütun10" xr10:uid="{61AC12E6-1A9D-48F9-AFAD-AF7C9CC36AF2}" cache="Dilimleyici_Sütun10" caption="Sütun10" columnCount="2" style="SlicerStyleDark2"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E2E2A1-FB8B-41C1-B056-A9CA74C99E04}" name="Tablo4" displayName="Tablo4" ref="A1:V17" totalsRowShown="0">
  <autoFilter ref="A1:V17" xr:uid="{CEE2E2A1-FB8B-41C1-B056-A9CA74C99E04}"/>
  <tableColumns count="22">
    <tableColumn id="1" xr3:uid="{5E07936D-8633-4F33-9D25-E5C062ABEE6D}" name="Sütun1"/>
    <tableColumn id="2" xr3:uid="{CEA33689-D916-4CD5-A5B1-45BCE9CA5635}" name="Sütun2"/>
    <tableColumn id="3" xr3:uid="{8958A00E-BE3B-4098-9272-8698EB79A84F}" name="Sütun3"/>
    <tableColumn id="4" xr3:uid="{100947CB-97EA-4457-8237-962BF8FA9D71}" name="Sütun4"/>
    <tableColumn id="5" xr3:uid="{04AD2697-D9FE-4E6B-9F5D-74D654398C5A}" name="Sütun5"/>
    <tableColumn id="6" xr3:uid="{B6D23818-41E3-4CA8-802F-6E3136EC8246}" name="Sütun6"/>
    <tableColumn id="7" xr3:uid="{28ACBA8E-783E-4DCF-B8EC-3CD527542C33}" name="Sütun7"/>
    <tableColumn id="8" xr3:uid="{51C197AF-9C18-43B5-9B09-785614279624}" name="Sütun8"/>
    <tableColumn id="9" xr3:uid="{1EABC9AD-6521-451E-8C20-184359D3B46C}" name="Sütun9"/>
    <tableColumn id="10" xr3:uid="{ED6EBF56-093B-4FFC-8103-74017D5737EB}" name="Sütun10"/>
    <tableColumn id="11" xr3:uid="{BC8E70FC-7E9A-47FD-A0FD-360C4A484392}" name="Sütun11"/>
    <tableColumn id="12" xr3:uid="{6F395891-A2DD-4CA4-9109-78B644BAC11D}" name="Sütun12"/>
    <tableColumn id="13" xr3:uid="{5D45CF4C-3F7C-48FC-9BF8-78807344340C}" name="Sütun13"/>
    <tableColumn id="14" xr3:uid="{AC59DAA2-8E99-4CD7-A50C-2A28C75ADB38}" name="Sütun14"/>
    <tableColumn id="15" xr3:uid="{20325903-B8FA-41A6-9B89-839DAC796D22}" name="Sütun15"/>
    <tableColumn id="16" xr3:uid="{A3762413-B12F-4096-9C54-C78EA638DBE8}" name="Sütun16"/>
    <tableColumn id="17" xr3:uid="{AF9A2E34-98B9-4348-9009-155AC7C5C103}" name="Sütun17"/>
    <tableColumn id="18" xr3:uid="{53B0E1C4-5136-4EB0-A954-BEC29BC47811}" name="Sütun18"/>
    <tableColumn id="19" xr3:uid="{9C10B747-5ACA-4305-9522-94AEC74D1850}" name="Sütun19"/>
    <tableColumn id="20" xr3:uid="{0848B6AA-E8A7-4818-B336-30B88C015CD5}" name="Sütun20"/>
    <tableColumn id="21" xr3:uid="{2728D6E0-C4BB-407F-B5E5-3FE107D29F80}" name="Sütun21"/>
    <tableColumn id="22" xr3:uid="{814EF715-4787-4372-95ED-A8B91E7BA74D}" name="Sütun2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70069B2-B42F-4442-9E96-3CFDB2C7C74C}" name="Tablo47" displayName="Tablo47" ref="A13:V30" totalsRowCount="1">
  <autoFilter ref="A13:V29" xr:uid="{570069B2-B42F-4442-9E96-3CFDB2C7C74C}"/>
  <tableColumns count="22">
    <tableColumn id="1" xr3:uid="{61F25A09-A969-4EA2-B64F-2E3205ACF58F}" name="Sütun1" totalsRowLabel="Toplam"/>
    <tableColumn id="2" xr3:uid="{92C450C7-870B-4344-9D61-C316A5D43B42}" name="Sütun2"/>
    <tableColumn id="3" xr3:uid="{7082816D-1A19-4E9E-851D-D15012733836}" name="Sütun3"/>
    <tableColumn id="4" xr3:uid="{2B918EC7-3F16-4CD9-997D-AFB608768DAA}" name="Sütun4"/>
    <tableColumn id="5" xr3:uid="{056B2098-5268-4522-A6E9-B4F153DEF8C6}" name="Sütun5"/>
    <tableColumn id="6" xr3:uid="{82C63CFB-6949-40A4-A9E9-0A030C0CB8FA}" name="Sütun6"/>
    <tableColumn id="7" xr3:uid="{F3A4470D-4D29-4820-A6EA-8ED25C5936D9}" name="Sütun7" totalsRowFunction="average"/>
    <tableColumn id="8" xr3:uid="{E0C295C1-28F3-4271-91EA-184E741E9CD8}" name="Sütun8"/>
    <tableColumn id="9" xr3:uid="{3BF6D78C-65D3-49AF-A36F-0CDBAA7E423F}" name="Sütun9"/>
    <tableColumn id="10" xr3:uid="{EFF997C1-C5BF-4E2D-80EC-A78908286B85}" name="Sütun10"/>
    <tableColumn id="11" xr3:uid="{E3A99DDD-2AA3-4E5E-B939-040562517F60}" name="Sütun11"/>
    <tableColumn id="12" xr3:uid="{02F1F147-3BCC-400F-98E8-5C3AC17F5B88}" name="Sütun12"/>
    <tableColumn id="13" xr3:uid="{85B65D73-0BE5-49C5-BA4F-C1226AA3F17B}" name="Sütun13"/>
    <tableColumn id="14" xr3:uid="{9C5D4E10-F53A-4681-AECB-128F2C860692}" name="Sütun14"/>
    <tableColumn id="15" xr3:uid="{01106532-4656-4933-84E4-CB4062CE11F5}" name="Sütun15"/>
    <tableColumn id="16" xr3:uid="{1829971C-CD49-4641-A06D-774EB7410028}" name="Sütun16"/>
    <tableColumn id="17" xr3:uid="{DE64F835-D73F-4C26-A892-9F2741DB5851}" name="Sütun17"/>
    <tableColumn id="18" xr3:uid="{45401ECA-65BD-4E0C-865E-1842FFE02E0D}" name="Sütun18"/>
    <tableColumn id="19" xr3:uid="{45AE5583-9888-4C7E-953B-F257D8878914}" name="Sütun19"/>
    <tableColumn id="20" xr3:uid="{CE8991F2-0866-4008-81D2-2C391B8A8286}" name="Sütun20"/>
    <tableColumn id="21" xr3:uid="{24C933E4-375D-419A-BF40-D6ADE893C2A9}" name="Sütun21"/>
    <tableColumn id="22" xr3:uid="{DD7B89C6-3320-4496-9D66-E9B656D13922}" name="Sütun22" totalsRowFunction="count"/>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09A58-9D6F-45BE-92BA-051D292F8F84}" name="Veriler" displayName="Veriler" ref="A1:AD17" tableType="queryTable" totalsRowShown="0">
  <autoFilter ref="A1:AD17" xr:uid="{19809A58-9D6F-45BE-92BA-051D292F8F84}"/>
  <tableColumns count="30">
    <tableColumn id="14" xr3:uid="{E137BDD0-AB17-4996-A6AF-FF83C04AC8F9}" uniqueName="14" name="Sütun1.1" queryTableFieldId="13" dataDxfId="19"/>
    <tableColumn id="15" xr3:uid="{48A32E07-C25E-4540-9C8C-48A0F21F50EF}" uniqueName="15" name="Sütun1.2" queryTableFieldId="14" dataDxfId="18"/>
    <tableColumn id="16" xr3:uid="{9BAF96E7-B0D4-421F-BED9-7F77CB4EB1D1}" uniqueName="16" name="Sütun1.3" queryTableFieldId="15" dataDxfId="17"/>
    <tableColumn id="2" xr3:uid="{3D9582F2-B0FD-435C-B05A-22461653A09E}" uniqueName="2" name="Sütun2" queryTableFieldId="2" dataDxfId="16"/>
    <tableColumn id="17" xr3:uid="{BBAA7EED-2B5A-44E5-BAC9-E153396B7ED4}" uniqueName="17" name="Sütun3" queryTableFieldId="16" dataDxfId="15"/>
    <tableColumn id="3" xr3:uid="{BE3B7552-97C0-4E20-8949-12BDB550B65A}" uniqueName="3" name="Sütun4" queryTableFieldId="3" dataDxfId="14"/>
    <tableColumn id="18" xr3:uid="{C6AECE0F-F398-43E6-B9EE-9320A832878D}" uniqueName="18" name="Sütun5" queryTableFieldId="17"/>
    <tableColumn id="4" xr3:uid="{1E54E5B2-058E-4185-BC09-744CB65AA371}" uniqueName="4" name="Sütun6" queryTableFieldId="4" dataDxfId="13"/>
    <tableColumn id="19" xr3:uid="{7DBF5D54-5240-488E-97A0-DA0B1E345363}" uniqueName="19" name="Sütun7" queryTableFieldId="18"/>
    <tableColumn id="5" xr3:uid="{F18A109B-DB8E-46C5-AC83-7BD46E51CE35}" uniqueName="5" name="Sütun8" queryTableFieldId="5" dataDxfId="12"/>
    <tableColumn id="20" xr3:uid="{3AD983DE-5651-415E-8C51-49817F3C85B6}" uniqueName="20" name="Sütun9" queryTableFieldId="19"/>
    <tableColumn id="6" xr3:uid="{F2594397-B613-4096-9EDC-5D6102DFF158}" uniqueName="6" name="Sütun10" queryTableFieldId="6" dataDxfId="11"/>
    <tableColumn id="21" xr3:uid="{3B97056D-F487-4E83-8DE7-1B7DB5DCD290}" uniqueName="21" name="Sütun11" queryTableFieldId="20" dataDxfId="10"/>
    <tableColumn id="7" xr3:uid="{810FBCAC-2880-4D29-9381-AB56FEBC5123}" uniqueName="7" name="Sütun12" queryTableFieldId="7" dataDxfId="9"/>
    <tableColumn id="22" xr3:uid="{5AD85F64-42B0-4D70-BF7B-139CA93F81A0}" uniqueName="22" name="Sütun13" queryTableFieldId="21"/>
    <tableColumn id="8" xr3:uid="{3C272086-7FD2-4883-9B93-EF5BE92E157F}" uniqueName="8" name="Sütun14" queryTableFieldId="8" dataDxfId="8"/>
    <tableColumn id="23" xr3:uid="{919C5C49-141E-4797-92DF-FEF8EDD3C81B}" uniqueName="23" name="Sütun15" queryTableFieldId="22"/>
    <tableColumn id="9" xr3:uid="{A3BD1B80-2E3C-40C9-BA3B-BB9B4D1BE44F}" uniqueName="9" name="Sütun16" queryTableFieldId="9" dataDxfId="7"/>
    <tableColumn id="24" xr3:uid="{F52C32CA-A809-4AA2-B691-4E2BEE3E3890}" uniqueName="24" name="Sütun17" queryTableFieldId="23" dataDxfId="6"/>
    <tableColumn id="10" xr3:uid="{06777855-FC3B-4278-8D41-7B231D776D5A}" uniqueName="10" name="Sütun18" queryTableFieldId="10" dataDxfId="5"/>
    <tableColumn id="25" xr3:uid="{9443B6BC-FB84-47AD-ABA2-7A7F65956B26}" uniqueName="25" name="Sütun19" queryTableFieldId="24" dataDxfId="4"/>
    <tableColumn id="11" xr3:uid="{2D51A560-271C-4F45-8141-9EBB894AC8EA}" uniqueName="11" name="Sütun20" queryTableFieldId="11" dataDxfId="3"/>
    <tableColumn id="26" xr3:uid="{4689FC7E-56DD-4D2C-A75E-B332378B7F6A}" uniqueName="26" name="Sütun21" queryTableFieldId="25" dataDxfId="2"/>
    <tableColumn id="12" xr3:uid="{8E7E2F21-8768-41CD-8142-A6948ABDF1E0}" uniqueName="12" name="Sütun22" queryTableFieldId="12" dataDxfId="1"/>
    <tableColumn id="27" xr3:uid="{72F7DF00-F148-4A27-92B7-69F1B3EF243C}" uniqueName="27" name="Dizin" queryTableFieldId="26"/>
    <tableColumn id="28" xr3:uid="{9B6A798F-201B-486B-BBA7-F66C0130010F}" uniqueName="28" name="Dizin.1" queryTableFieldId="27"/>
    <tableColumn id="29" xr3:uid="{18839A7C-B418-4B78-A831-F6EC388496FF}" uniqueName="29" name="Dizin.2" queryTableFieldId="28"/>
    <tableColumn id="30" xr3:uid="{F3AAB2B0-675E-407B-B43D-637293F13D0F}" uniqueName="30" name="Dizin.3" queryTableFieldId="29"/>
    <tableColumn id="31" xr3:uid="{3D3B9916-2897-4F27-8C68-E4D852F6DFA6}" uniqueName="31" name="Dizin.4" queryTableFieldId="30"/>
    <tableColumn id="32" xr3:uid="{C99C1FC7-640B-4EC0-B04F-5CCE5AAE43DA}" uniqueName="32" name="küçük harf"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8C40-F3C4-49AE-A7F1-538693E9132C}">
  <dimension ref="A1:V17"/>
  <sheetViews>
    <sheetView workbookViewId="0">
      <selection activeCell="A2" sqref="A2"/>
    </sheetView>
  </sheetViews>
  <sheetFormatPr defaultRowHeight="14.4" x14ac:dyDescent="0.3"/>
  <cols>
    <col min="1" max="1" width="15.33203125" bestFit="1" customWidth="1"/>
    <col min="2" max="2" width="9" bestFit="1" customWidth="1"/>
    <col min="3" max="3" width="12.44140625" bestFit="1" customWidth="1"/>
    <col min="4" max="4" width="9.21875" bestFit="1" customWidth="1"/>
    <col min="5" max="5" width="10.109375" bestFit="1" customWidth="1"/>
    <col min="6" max="6" width="9.44140625" bestFit="1" customWidth="1"/>
    <col min="8" max="8" width="11.77734375" bestFit="1" customWidth="1"/>
    <col min="10" max="10" width="10.21875" bestFit="1" customWidth="1"/>
    <col min="11" max="11" width="9.44140625" customWidth="1"/>
    <col min="12" max="12" width="10.109375" bestFit="1" customWidth="1"/>
    <col min="13" max="13" width="11.77734375" bestFit="1" customWidth="1"/>
    <col min="14" max="14" width="12.33203125" bestFit="1" customWidth="1"/>
    <col min="15" max="15" width="12.109375" bestFit="1" customWidth="1"/>
    <col min="16" max="16" width="15.77734375" bestFit="1" customWidth="1"/>
    <col min="17" max="17" width="14.33203125" bestFit="1" customWidth="1"/>
    <col min="18" max="18" width="11.77734375" bestFit="1" customWidth="1"/>
    <col min="19" max="19" width="16.88671875" bestFit="1" customWidth="1"/>
    <col min="20" max="20" width="9.77734375" bestFit="1" customWidth="1"/>
    <col min="21" max="21" width="13.88671875" bestFit="1" customWidth="1"/>
    <col min="22" max="22" width="10.44140625" bestFit="1" customWidth="1"/>
  </cols>
  <sheetData>
    <row r="1" spans="1:22" x14ac:dyDescent="0.3">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row>
    <row r="2" spans="1:22" x14ac:dyDescent="0.3">
      <c r="A2" t="s">
        <v>0</v>
      </c>
      <c r="B2" t="s">
        <v>1</v>
      </c>
      <c r="C2" t="s">
        <v>2</v>
      </c>
      <c r="D2" t="s">
        <v>3</v>
      </c>
      <c r="E2" t="s">
        <v>4</v>
      </c>
      <c r="F2" t="s">
        <v>5</v>
      </c>
      <c r="G2" t="s">
        <v>6</v>
      </c>
      <c r="H2" t="s">
        <v>7</v>
      </c>
      <c r="I2" t="s">
        <v>8</v>
      </c>
      <c r="J2" t="s">
        <v>100</v>
      </c>
      <c r="K2" t="s">
        <v>9</v>
      </c>
      <c r="L2" t="s">
        <v>10</v>
      </c>
      <c r="M2" t="s">
        <v>11</v>
      </c>
      <c r="N2" t="s">
        <v>12</v>
      </c>
      <c r="O2" t="s">
        <v>13</v>
      </c>
      <c r="P2" t="s">
        <v>14</v>
      </c>
      <c r="Q2" t="s">
        <v>15</v>
      </c>
      <c r="R2" t="s">
        <v>4</v>
      </c>
      <c r="S2" t="s">
        <v>16</v>
      </c>
      <c r="T2" t="s">
        <v>17</v>
      </c>
      <c r="U2" t="s">
        <v>18</v>
      </c>
      <c r="V2" t="s">
        <v>19</v>
      </c>
    </row>
    <row r="3" spans="1:22" x14ac:dyDescent="0.3">
      <c r="A3" t="s">
        <v>20</v>
      </c>
      <c r="B3">
        <v>10026</v>
      </c>
      <c r="C3" t="s">
        <v>35</v>
      </c>
      <c r="D3" t="s">
        <v>37</v>
      </c>
      <c r="E3">
        <v>5</v>
      </c>
      <c r="F3">
        <v>4</v>
      </c>
      <c r="G3">
        <v>62508</v>
      </c>
      <c r="H3" t="s">
        <v>40</v>
      </c>
      <c r="I3">
        <v>19</v>
      </c>
      <c r="J3">
        <f>Tablo4[[#This Row],[Sütun7]]*1.2</f>
        <v>75009.599999999991</v>
      </c>
      <c r="K3" t="s">
        <v>44</v>
      </c>
      <c r="L3">
        <v>1960</v>
      </c>
      <c r="M3">
        <v>34340</v>
      </c>
      <c r="N3">
        <v>45499</v>
      </c>
      <c r="O3">
        <v>42537</v>
      </c>
      <c r="P3" t="s">
        <v>46</v>
      </c>
      <c r="Q3" t="s">
        <v>51</v>
      </c>
      <c r="R3" t="s">
        <v>40</v>
      </c>
      <c r="S3" t="s">
        <v>55</v>
      </c>
      <c r="T3">
        <v>22</v>
      </c>
      <c r="U3" t="s">
        <v>70</v>
      </c>
      <c r="V3" t="s">
        <v>75</v>
      </c>
    </row>
    <row r="4" spans="1:22" x14ac:dyDescent="0.3">
      <c r="A4" t="s">
        <v>21</v>
      </c>
      <c r="B4">
        <v>10084</v>
      </c>
      <c r="C4" t="s">
        <v>36</v>
      </c>
      <c r="D4" t="s">
        <v>37</v>
      </c>
      <c r="E4">
        <v>3</v>
      </c>
      <c r="F4">
        <v>3</v>
      </c>
      <c r="G4">
        <v>104437</v>
      </c>
      <c r="H4" t="s">
        <v>41</v>
      </c>
      <c r="I4">
        <v>27</v>
      </c>
      <c r="J4">
        <f>Tablo4[[#This Row],[Sütun7]]*1.2</f>
        <v>125324.4</v>
      </c>
      <c r="K4" t="s">
        <v>44</v>
      </c>
      <c r="L4">
        <v>2148</v>
      </c>
      <c r="M4">
        <v>34472</v>
      </c>
      <c r="N4">
        <v>45828</v>
      </c>
      <c r="O4">
        <v>41176</v>
      </c>
      <c r="P4" t="s">
        <v>47</v>
      </c>
      <c r="Q4" t="s">
        <v>51</v>
      </c>
      <c r="R4" t="s">
        <v>53</v>
      </c>
      <c r="S4" t="s">
        <v>56</v>
      </c>
      <c r="T4">
        <v>4</v>
      </c>
      <c r="U4" t="s">
        <v>71</v>
      </c>
      <c r="V4" t="s">
        <v>76</v>
      </c>
    </row>
    <row r="5" spans="1:22" x14ac:dyDescent="0.3">
      <c r="A5" t="s">
        <v>22</v>
      </c>
      <c r="B5">
        <v>10196</v>
      </c>
      <c r="C5" t="s">
        <v>36</v>
      </c>
      <c r="D5" t="s">
        <v>38</v>
      </c>
      <c r="E5">
        <v>5</v>
      </c>
      <c r="F5">
        <v>3</v>
      </c>
      <c r="G5">
        <v>64955</v>
      </c>
      <c r="H5" t="s">
        <v>40</v>
      </c>
      <c r="I5">
        <v>20</v>
      </c>
      <c r="J5">
        <f>Tablo4[[#This Row],[Sütun7]]*1.2</f>
        <v>77946</v>
      </c>
      <c r="K5" t="s">
        <v>44</v>
      </c>
      <c r="L5">
        <v>1610</v>
      </c>
      <c r="M5">
        <v>27925</v>
      </c>
      <c r="N5">
        <v>44471</v>
      </c>
      <c r="O5">
        <v>42530</v>
      </c>
      <c r="P5" t="s">
        <v>46</v>
      </c>
      <c r="Q5" t="s">
        <v>52</v>
      </c>
      <c r="R5" t="s">
        <v>40</v>
      </c>
      <c r="S5" t="s">
        <v>57</v>
      </c>
      <c r="T5">
        <v>20</v>
      </c>
      <c r="U5" t="s">
        <v>70</v>
      </c>
      <c r="V5" t="s">
        <v>75</v>
      </c>
    </row>
    <row r="6" spans="1:22" x14ac:dyDescent="0.3">
      <c r="A6" t="s">
        <v>23</v>
      </c>
      <c r="B6">
        <v>10088</v>
      </c>
      <c r="C6" t="s">
        <v>36</v>
      </c>
      <c r="D6" t="s">
        <v>38</v>
      </c>
      <c r="E6">
        <v>5</v>
      </c>
      <c r="F6">
        <v>3</v>
      </c>
      <c r="G6">
        <v>64991</v>
      </c>
      <c r="H6" t="s">
        <v>40</v>
      </c>
      <c r="I6">
        <v>19</v>
      </c>
      <c r="J6">
        <f>Tablo4[[#This Row],[Sütun7]]*1.2</f>
        <v>77989.2</v>
      </c>
      <c r="K6" t="s">
        <v>44</v>
      </c>
      <c r="L6">
        <v>1866</v>
      </c>
      <c r="M6">
        <v>37377</v>
      </c>
      <c r="N6">
        <v>37708</v>
      </c>
      <c r="O6">
        <v>43070</v>
      </c>
      <c r="P6" t="s">
        <v>48</v>
      </c>
      <c r="Q6" t="s">
        <v>52</v>
      </c>
      <c r="R6" t="s">
        <v>40</v>
      </c>
      <c r="S6" t="s">
        <v>58</v>
      </c>
      <c r="T6">
        <v>16</v>
      </c>
      <c r="U6" t="s">
        <v>71</v>
      </c>
      <c r="V6" t="s">
        <v>75</v>
      </c>
    </row>
    <row r="7" spans="1:22" x14ac:dyDescent="0.3">
      <c r="A7" t="s">
        <v>24</v>
      </c>
      <c r="B7">
        <v>10089</v>
      </c>
      <c r="C7" t="s">
        <v>35</v>
      </c>
      <c r="D7" t="s">
        <v>39</v>
      </c>
      <c r="E7">
        <v>5</v>
      </c>
      <c r="F7">
        <v>3</v>
      </c>
      <c r="G7">
        <v>50825</v>
      </c>
      <c r="H7" t="s">
        <v>40</v>
      </c>
      <c r="I7">
        <v>19</v>
      </c>
      <c r="J7">
        <f>Tablo4[[#This Row],[Sütun7]]*1.2</f>
        <v>60990</v>
      </c>
      <c r="K7" t="s">
        <v>44</v>
      </c>
      <c r="L7">
        <v>2169</v>
      </c>
      <c r="M7">
        <v>26909</v>
      </c>
      <c r="N7">
        <v>37172</v>
      </c>
      <c r="O7">
        <v>42632</v>
      </c>
      <c r="P7" t="s">
        <v>46</v>
      </c>
      <c r="Q7" t="s">
        <v>51</v>
      </c>
      <c r="R7" t="s">
        <v>40</v>
      </c>
      <c r="S7" t="s">
        <v>59</v>
      </c>
      <c r="T7">
        <v>39</v>
      </c>
      <c r="U7" t="s">
        <v>72</v>
      </c>
      <c r="V7" t="s">
        <v>75</v>
      </c>
    </row>
    <row r="8" spans="1:22" x14ac:dyDescent="0.3">
      <c r="A8" t="s">
        <v>25</v>
      </c>
      <c r="B8">
        <v>10002</v>
      </c>
      <c r="C8" t="s">
        <v>35</v>
      </c>
      <c r="D8" t="s">
        <v>37</v>
      </c>
      <c r="E8">
        <v>4</v>
      </c>
      <c r="F8">
        <v>4</v>
      </c>
      <c r="G8">
        <v>57568</v>
      </c>
      <c r="H8" t="s">
        <v>42</v>
      </c>
      <c r="I8">
        <v>19</v>
      </c>
      <c r="J8">
        <f>Tablo4[[#This Row],[Sütun7]]*1.2</f>
        <v>69081.599999999991</v>
      </c>
      <c r="K8" t="s">
        <v>44</v>
      </c>
      <c r="L8">
        <v>1844</v>
      </c>
      <c r="M8">
        <v>38632</v>
      </c>
      <c r="N8">
        <v>38211</v>
      </c>
      <c r="O8">
        <v>42890</v>
      </c>
      <c r="P8" t="s">
        <v>46</v>
      </c>
      <c r="Q8" t="s">
        <v>51</v>
      </c>
      <c r="R8" t="s">
        <v>40</v>
      </c>
      <c r="S8" t="s">
        <v>60</v>
      </c>
      <c r="T8">
        <v>11</v>
      </c>
      <c r="U8" t="s">
        <v>70</v>
      </c>
      <c r="V8" t="s">
        <v>75</v>
      </c>
    </row>
    <row r="9" spans="1:22" x14ac:dyDescent="0.3">
      <c r="A9" t="s">
        <v>26</v>
      </c>
      <c r="B9">
        <v>10164</v>
      </c>
      <c r="C9" t="s">
        <v>35</v>
      </c>
      <c r="D9" t="s">
        <v>37</v>
      </c>
      <c r="E9">
        <v>5</v>
      </c>
      <c r="F9">
        <v>5</v>
      </c>
      <c r="G9">
        <v>95660</v>
      </c>
      <c r="H9" t="s">
        <v>43</v>
      </c>
      <c r="I9">
        <v>24</v>
      </c>
      <c r="J9">
        <f>Tablo4[[#This Row],[Sütun7]]*1.2</f>
        <v>114792</v>
      </c>
      <c r="K9" t="s">
        <v>45</v>
      </c>
      <c r="L9">
        <v>2110</v>
      </c>
      <c r="M9">
        <v>36248</v>
      </c>
      <c r="N9">
        <v>38180</v>
      </c>
      <c r="O9">
        <v>41733</v>
      </c>
      <c r="P9" t="s">
        <v>46</v>
      </c>
      <c r="Q9" t="s">
        <v>51</v>
      </c>
      <c r="R9" t="s">
        <v>54</v>
      </c>
      <c r="S9" t="s">
        <v>61</v>
      </c>
      <c r="T9">
        <v>10</v>
      </c>
      <c r="U9" t="s">
        <v>70</v>
      </c>
      <c r="V9" t="s">
        <v>75</v>
      </c>
    </row>
    <row r="10" spans="1:22" x14ac:dyDescent="0.3">
      <c r="A10" t="s">
        <v>27</v>
      </c>
      <c r="B10">
        <v>10062</v>
      </c>
      <c r="C10" t="s">
        <v>36</v>
      </c>
      <c r="D10" t="s">
        <v>38</v>
      </c>
      <c r="E10">
        <v>3</v>
      </c>
      <c r="F10">
        <v>3</v>
      </c>
      <c r="G10">
        <v>59365</v>
      </c>
      <c r="H10" t="s">
        <v>40</v>
      </c>
      <c r="I10">
        <v>19</v>
      </c>
      <c r="J10">
        <f>Tablo4[[#This Row],[Sütun7]]*1.2</f>
        <v>71238</v>
      </c>
      <c r="K10" t="s">
        <v>44</v>
      </c>
      <c r="L10">
        <v>2199</v>
      </c>
      <c r="M10">
        <v>31168</v>
      </c>
      <c r="N10">
        <v>38580</v>
      </c>
      <c r="O10">
        <v>42615</v>
      </c>
      <c r="P10" t="s">
        <v>49</v>
      </c>
      <c r="Q10" t="s">
        <v>52</v>
      </c>
      <c r="R10" t="s">
        <v>40</v>
      </c>
      <c r="S10" t="s">
        <v>62</v>
      </c>
      <c r="T10">
        <v>19</v>
      </c>
      <c r="U10" t="s">
        <v>73</v>
      </c>
      <c r="V10" t="s">
        <v>76</v>
      </c>
    </row>
    <row r="11" spans="1:22" x14ac:dyDescent="0.3">
      <c r="A11" t="s">
        <v>28</v>
      </c>
      <c r="B11">
        <v>10114</v>
      </c>
      <c r="C11" t="s">
        <v>36</v>
      </c>
      <c r="D11" t="s">
        <v>37</v>
      </c>
      <c r="E11">
        <v>5</v>
      </c>
      <c r="F11">
        <v>4</v>
      </c>
      <c r="G11">
        <v>47837</v>
      </c>
      <c r="H11" t="s">
        <v>40</v>
      </c>
      <c r="I11">
        <v>19</v>
      </c>
      <c r="J11">
        <f>Tablo4[[#This Row],[Sütun7]]*1.2</f>
        <v>57404.4</v>
      </c>
      <c r="K11" t="s">
        <v>44</v>
      </c>
      <c r="L11">
        <v>1902</v>
      </c>
      <c r="M11">
        <v>36391</v>
      </c>
      <c r="N11">
        <v>39937</v>
      </c>
      <c r="O11">
        <v>41828</v>
      </c>
      <c r="P11" t="s">
        <v>46</v>
      </c>
      <c r="Q11" t="s">
        <v>52</v>
      </c>
      <c r="R11" t="s">
        <v>40</v>
      </c>
      <c r="S11" t="s">
        <v>63</v>
      </c>
      <c r="T11">
        <v>12</v>
      </c>
      <c r="U11" t="s">
        <v>72</v>
      </c>
      <c r="V11" t="s">
        <v>76</v>
      </c>
    </row>
    <row r="12" spans="1:22" x14ac:dyDescent="0.3">
      <c r="A12" t="s">
        <v>29</v>
      </c>
      <c r="B12">
        <v>10250</v>
      </c>
      <c r="C12" t="s">
        <v>36</v>
      </c>
      <c r="D12" t="s">
        <v>38</v>
      </c>
      <c r="E12">
        <v>5</v>
      </c>
      <c r="F12">
        <v>4</v>
      </c>
      <c r="G12">
        <v>50178</v>
      </c>
      <c r="H12" t="s">
        <v>40</v>
      </c>
      <c r="I12">
        <v>24</v>
      </c>
      <c r="J12">
        <f>Tablo4[[#This Row],[Sütun7]]*1.2</f>
        <v>60213.599999999999</v>
      </c>
      <c r="K12" t="s">
        <v>44</v>
      </c>
      <c r="L12">
        <v>2062</v>
      </c>
      <c r="M12">
        <v>37331</v>
      </c>
      <c r="N12">
        <v>38411</v>
      </c>
      <c r="O12">
        <v>41440</v>
      </c>
      <c r="P12" t="s">
        <v>46</v>
      </c>
      <c r="Q12" t="s">
        <v>52</v>
      </c>
      <c r="R12" t="s">
        <v>53</v>
      </c>
      <c r="S12" t="s">
        <v>64</v>
      </c>
      <c r="T12">
        <v>7</v>
      </c>
      <c r="U12" t="s">
        <v>71</v>
      </c>
      <c r="V12" t="s">
        <v>76</v>
      </c>
    </row>
    <row r="13" spans="1:22" x14ac:dyDescent="0.3">
      <c r="A13" t="s">
        <v>30</v>
      </c>
      <c r="B13">
        <v>10242</v>
      </c>
      <c r="C13" t="s">
        <v>35</v>
      </c>
      <c r="D13" t="s">
        <v>37</v>
      </c>
      <c r="E13">
        <v>5</v>
      </c>
      <c r="F13">
        <v>3</v>
      </c>
      <c r="G13">
        <v>54670</v>
      </c>
      <c r="H13" t="s">
        <v>40</v>
      </c>
      <c r="I13">
        <v>19</v>
      </c>
      <c r="J13">
        <f>Tablo4[[#This Row],[Sütun7]]*1.2</f>
        <v>65604</v>
      </c>
      <c r="K13" t="s">
        <v>44</v>
      </c>
      <c r="L13">
        <v>78330</v>
      </c>
      <c r="M13">
        <v>33890</v>
      </c>
      <c r="N13">
        <v>45580</v>
      </c>
      <c r="O13">
        <v>41678</v>
      </c>
      <c r="P13" t="s">
        <v>46</v>
      </c>
      <c r="Q13" t="s">
        <v>51</v>
      </c>
      <c r="R13" t="s">
        <v>40</v>
      </c>
      <c r="S13" t="s">
        <v>65</v>
      </c>
      <c r="T13">
        <v>14</v>
      </c>
      <c r="U13" t="s">
        <v>71</v>
      </c>
      <c r="V13" t="s">
        <v>76</v>
      </c>
    </row>
    <row r="14" spans="1:22" x14ac:dyDescent="0.3">
      <c r="A14" t="s">
        <v>31</v>
      </c>
      <c r="B14">
        <v>10012</v>
      </c>
      <c r="C14" t="s">
        <v>35</v>
      </c>
      <c r="D14" t="s">
        <v>38</v>
      </c>
      <c r="E14">
        <v>3</v>
      </c>
      <c r="F14">
        <v>3</v>
      </c>
      <c r="G14">
        <v>47211</v>
      </c>
      <c r="H14" t="s">
        <v>40</v>
      </c>
      <c r="I14">
        <v>19</v>
      </c>
      <c r="J14">
        <f>Tablo4[[#This Row],[Sütun7]]*1.2</f>
        <v>56653.2</v>
      </c>
      <c r="K14" t="s">
        <v>44</v>
      </c>
      <c r="L14">
        <v>2145</v>
      </c>
      <c r="M14">
        <v>42512</v>
      </c>
      <c r="N14">
        <v>38029</v>
      </c>
      <c r="O14">
        <v>42537</v>
      </c>
      <c r="P14" t="s">
        <v>46</v>
      </c>
      <c r="Q14" t="s">
        <v>51</v>
      </c>
      <c r="R14" t="s">
        <v>40</v>
      </c>
      <c r="S14" t="s">
        <v>66</v>
      </c>
      <c r="T14">
        <v>20</v>
      </c>
      <c r="U14" t="s">
        <v>74</v>
      </c>
      <c r="V14" t="s">
        <v>75</v>
      </c>
    </row>
    <row r="15" spans="1:22" x14ac:dyDescent="0.3">
      <c r="A15" t="s">
        <v>32</v>
      </c>
      <c r="B15">
        <v>10265</v>
      </c>
      <c r="C15" t="s">
        <v>35</v>
      </c>
      <c r="D15" t="s">
        <v>37</v>
      </c>
      <c r="E15">
        <v>5</v>
      </c>
      <c r="F15">
        <v>4</v>
      </c>
      <c r="G15">
        <v>50687</v>
      </c>
      <c r="H15" t="s">
        <v>40</v>
      </c>
      <c r="I15">
        <v>14</v>
      </c>
      <c r="J15">
        <f>Tablo4[[#This Row],[Sütun7]]*1.2</f>
        <v>60824.399999999994</v>
      </c>
      <c r="K15" t="s">
        <v>44</v>
      </c>
      <c r="L15">
        <v>1910</v>
      </c>
      <c r="M15">
        <v>44904</v>
      </c>
      <c r="N15">
        <v>37918</v>
      </c>
      <c r="O15">
        <v>43078</v>
      </c>
      <c r="P15" t="s">
        <v>47</v>
      </c>
      <c r="Q15" t="s">
        <v>52</v>
      </c>
      <c r="R15" t="s">
        <v>53</v>
      </c>
      <c r="S15" t="s">
        <v>67</v>
      </c>
      <c r="T15">
        <v>4</v>
      </c>
      <c r="U15" t="s">
        <v>74</v>
      </c>
      <c r="V15" t="s">
        <v>75</v>
      </c>
    </row>
    <row r="16" spans="1:22" x14ac:dyDescent="0.3">
      <c r="A16" t="s">
        <v>33</v>
      </c>
      <c r="B16">
        <v>10066</v>
      </c>
      <c r="C16" t="s">
        <v>36</v>
      </c>
      <c r="D16" t="s">
        <v>37</v>
      </c>
      <c r="E16">
        <v>5</v>
      </c>
      <c r="F16">
        <v>5</v>
      </c>
      <c r="G16">
        <v>23456</v>
      </c>
      <c r="H16" t="s">
        <v>40</v>
      </c>
      <c r="I16">
        <v>19</v>
      </c>
      <c r="J16">
        <f>Tablo4[[#This Row],[Sütun7]]*1.2</f>
        <v>28147.200000000001</v>
      </c>
      <c r="K16" t="s">
        <v>44</v>
      </c>
      <c r="L16">
        <v>2027</v>
      </c>
      <c r="M16">
        <v>37628</v>
      </c>
      <c r="N16">
        <v>41929</v>
      </c>
      <c r="O16">
        <v>42833</v>
      </c>
      <c r="P16" t="s">
        <v>47</v>
      </c>
      <c r="Q16" t="s">
        <v>52</v>
      </c>
      <c r="R16" t="s">
        <v>40</v>
      </c>
      <c r="S16" t="s">
        <v>68</v>
      </c>
      <c r="T16">
        <v>18</v>
      </c>
      <c r="U16" t="s">
        <v>70</v>
      </c>
      <c r="V16" t="s">
        <v>75</v>
      </c>
    </row>
    <row r="17" spans="1:22" x14ac:dyDescent="0.3">
      <c r="A17" t="s">
        <v>34</v>
      </c>
      <c r="B17">
        <v>10061</v>
      </c>
      <c r="C17" t="s">
        <v>36</v>
      </c>
      <c r="D17" t="s">
        <v>38</v>
      </c>
      <c r="E17">
        <v>5</v>
      </c>
      <c r="F17">
        <v>5</v>
      </c>
      <c r="G17">
        <v>46532</v>
      </c>
      <c r="H17" t="s">
        <v>40</v>
      </c>
      <c r="I17">
        <v>19</v>
      </c>
      <c r="J17">
        <f>Tablo4[[#This Row],[Sütun7]]*1.2</f>
        <v>55838.400000000001</v>
      </c>
      <c r="K17" t="s">
        <v>44</v>
      </c>
      <c r="L17">
        <v>2468</v>
      </c>
      <c r="M17">
        <v>43641</v>
      </c>
      <c r="N17">
        <v>42512</v>
      </c>
      <c r="O17">
        <v>42890</v>
      </c>
      <c r="P17" t="s">
        <v>50</v>
      </c>
      <c r="Q17" t="s">
        <v>51</v>
      </c>
      <c r="R17" t="s">
        <v>40</v>
      </c>
      <c r="S17" t="s">
        <v>69</v>
      </c>
      <c r="T17">
        <v>22</v>
      </c>
      <c r="U17" t="s">
        <v>73</v>
      </c>
      <c r="V17" t="s">
        <v>77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72AD-9E7B-402D-93A9-55251EA26964}">
  <dimension ref="A13:V30"/>
  <sheetViews>
    <sheetView topLeftCell="A6" workbookViewId="0">
      <selection activeCell="H30" sqref="H30"/>
    </sheetView>
  </sheetViews>
  <sheetFormatPr defaultRowHeight="14.4" x14ac:dyDescent="0.3"/>
  <sheetData>
    <row r="13" spans="1:22" x14ac:dyDescent="0.3">
      <c r="A13" t="s">
        <v>78</v>
      </c>
      <c r="B13" t="s">
        <v>79</v>
      </c>
      <c r="C13" t="s">
        <v>80</v>
      </c>
      <c r="D13" t="s">
        <v>81</v>
      </c>
      <c r="E13" t="s">
        <v>82</v>
      </c>
      <c r="F13" t="s">
        <v>83</v>
      </c>
      <c r="G13" t="s">
        <v>84</v>
      </c>
      <c r="H13" t="s">
        <v>85</v>
      </c>
      <c r="I13" t="s">
        <v>86</v>
      </c>
      <c r="J13" t="s">
        <v>87</v>
      </c>
      <c r="K13" t="s">
        <v>88</v>
      </c>
      <c r="L13" t="s">
        <v>89</v>
      </c>
      <c r="M13" t="s">
        <v>90</v>
      </c>
      <c r="N13" t="s">
        <v>91</v>
      </c>
      <c r="O13" t="s">
        <v>92</v>
      </c>
      <c r="P13" t="s">
        <v>93</v>
      </c>
      <c r="Q13" t="s">
        <v>94</v>
      </c>
      <c r="R13" t="s">
        <v>95</v>
      </c>
      <c r="S13" t="s">
        <v>96</v>
      </c>
      <c r="T13" t="s">
        <v>97</v>
      </c>
      <c r="U13" t="s">
        <v>98</v>
      </c>
      <c r="V13" t="s">
        <v>99</v>
      </c>
    </row>
    <row r="14" spans="1:22" x14ac:dyDescent="0.3">
      <c r="A14" t="s">
        <v>0</v>
      </c>
      <c r="B14" t="s">
        <v>1</v>
      </c>
      <c r="C14" t="s">
        <v>2</v>
      </c>
      <c r="D14" t="s">
        <v>3</v>
      </c>
      <c r="E14" t="s">
        <v>4</v>
      </c>
      <c r="F14" t="s">
        <v>5</v>
      </c>
      <c r="G14" t="s">
        <v>6</v>
      </c>
      <c r="H14" t="s">
        <v>7</v>
      </c>
      <c r="I14" t="s">
        <v>8</v>
      </c>
      <c r="J14" t="s">
        <v>100</v>
      </c>
      <c r="K14" t="s">
        <v>9</v>
      </c>
      <c r="L14" t="s">
        <v>10</v>
      </c>
      <c r="M14" t="s">
        <v>11</v>
      </c>
      <c r="N14" t="s">
        <v>12</v>
      </c>
      <c r="O14" t="s">
        <v>13</v>
      </c>
      <c r="P14" t="s">
        <v>14</v>
      </c>
      <c r="Q14" t="s">
        <v>15</v>
      </c>
      <c r="R14" t="s">
        <v>4</v>
      </c>
      <c r="S14" t="s">
        <v>16</v>
      </c>
      <c r="T14" t="s">
        <v>17</v>
      </c>
      <c r="U14" t="s">
        <v>18</v>
      </c>
      <c r="V14" t="s">
        <v>19</v>
      </c>
    </row>
    <row r="15" spans="1:22" x14ac:dyDescent="0.3">
      <c r="A15" t="s">
        <v>20</v>
      </c>
      <c r="B15">
        <v>10026</v>
      </c>
      <c r="C15" t="s">
        <v>35</v>
      </c>
      <c r="D15" t="s">
        <v>37</v>
      </c>
      <c r="E15">
        <v>5</v>
      </c>
      <c r="F15">
        <v>4</v>
      </c>
      <c r="G15">
        <v>62508</v>
      </c>
      <c r="H15" t="s">
        <v>40</v>
      </c>
      <c r="I15">
        <v>19</v>
      </c>
      <c r="J15">
        <f>Tablo47[[#This Row],[Sütun7]]*1.2</f>
        <v>75009.599999999991</v>
      </c>
      <c r="K15" t="s">
        <v>44</v>
      </c>
      <c r="L15">
        <v>1960</v>
      </c>
      <c r="M15">
        <v>34340</v>
      </c>
      <c r="N15">
        <v>45499</v>
      </c>
      <c r="O15">
        <v>42537</v>
      </c>
      <c r="P15" t="s">
        <v>46</v>
      </c>
      <c r="Q15" t="s">
        <v>51</v>
      </c>
      <c r="R15" t="s">
        <v>40</v>
      </c>
      <c r="S15" t="s">
        <v>55</v>
      </c>
      <c r="T15">
        <v>22</v>
      </c>
      <c r="U15" t="s">
        <v>70</v>
      </c>
      <c r="V15" t="s">
        <v>75</v>
      </c>
    </row>
    <row r="16" spans="1:22" x14ac:dyDescent="0.3">
      <c r="A16" t="s">
        <v>21</v>
      </c>
      <c r="B16">
        <v>10084</v>
      </c>
      <c r="C16" t="s">
        <v>36</v>
      </c>
      <c r="D16" t="s">
        <v>37</v>
      </c>
      <c r="E16">
        <v>3</v>
      </c>
      <c r="F16">
        <v>3</v>
      </c>
      <c r="G16">
        <v>104437</v>
      </c>
      <c r="H16" t="s">
        <v>41</v>
      </c>
      <c r="I16">
        <v>27</v>
      </c>
      <c r="J16">
        <f>Tablo47[[#This Row],[Sütun7]]*1.2</f>
        <v>125324.4</v>
      </c>
      <c r="K16" t="s">
        <v>44</v>
      </c>
      <c r="L16">
        <v>2148</v>
      </c>
      <c r="M16">
        <v>34472</v>
      </c>
      <c r="N16">
        <v>45828</v>
      </c>
      <c r="O16">
        <v>41176</v>
      </c>
      <c r="P16" t="s">
        <v>47</v>
      </c>
      <c r="Q16" t="s">
        <v>51</v>
      </c>
      <c r="R16" t="s">
        <v>53</v>
      </c>
      <c r="S16" t="s">
        <v>56</v>
      </c>
      <c r="T16">
        <v>4</v>
      </c>
      <c r="U16" t="s">
        <v>71</v>
      </c>
      <c r="V16" t="s">
        <v>76</v>
      </c>
    </row>
    <row r="17" spans="1:22" x14ac:dyDescent="0.3">
      <c r="A17" t="s">
        <v>22</v>
      </c>
      <c r="B17">
        <v>10196</v>
      </c>
      <c r="C17" t="s">
        <v>36</v>
      </c>
      <c r="D17" t="s">
        <v>38</v>
      </c>
      <c r="E17">
        <v>5</v>
      </c>
      <c r="F17">
        <v>3</v>
      </c>
      <c r="G17">
        <v>64955</v>
      </c>
      <c r="H17" t="s">
        <v>40</v>
      </c>
      <c r="I17">
        <v>20</v>
      </c>
      <c r="J17">
        <f>Tablo47[[#This Row],[Sütun7]]*1.2</f>
        <v>77946</v>
      </c>
      <c r="K17" t="s">
        <v>44</v>
      </c>
      <c r="L17">
        <v>1610</v>
      </c>
      <c r="M17">
        <v>27925</v>
      </c>
      <c r="N17">
        <v>44471</v>
      </c>
      <c r="O17">
        <v>42530</v>
      </c>
      <c r="P17" t="s">
        <v>46</v>
      </c>
      <c r="Q17" t="s">
        <v>52</v>
      </c>
      <c r="R17" t="s">
        <v>40</v>
      </c>
      <c r="S17" t="s">
        <v>57</v>
      </c>
      <c r="T17">
        <v>20</v>
      </c>
      <c r="U17" t="s">
        <v>70</v>
      </c>
      <c r="V17" t="s">
        <v>75</v>
      </c>
    </row>
    <row r="18" spans="1:22" x14ac:dyDescent="0.3">
      <c r="A18" t="s">
        <v>23</v>
      </c>
      <c r="B18">
        <v>10088</v>
      </c>
      <c r="C18" t="s">
        <v>36</v>
      </c>
      <c r="D18" t="s">
        <v>38</v>
      </c>
      <c r="E18">
        <v>5</v>
      </c>
      <c r="F18">
        <v>3</v>
      </c>
      <c r="G18">
        <v>64991</v>
      </c>
      <c r="H18" t="s">
        <v>40</v>
      </c>
      <c r="I18">
        <v>19</v>
      </c>
      <c r="J18">
        <f>Tablo47[[#This Row],[Sütun7]]*1.2</f>
        <v>77989.2</v>
      </c>
      <c r="K18" t="s">
        <v>44</v>
      </c>
      <c r="L18">
        <v>1866</v>
      </c>
      <c r="M18">
        <v>37377</v>
      </c>
      <c r="N18">
        <v>37708</v>
      </c>
      <c r="O18">
        <v>43070</v>
      </c>
      <c r="P18" t="s">
        <v>48</v>
      </c>
      <c r="Q18" t="s">
        <v>52</v>
      </c>
      <c r="R18" t="s">
        <v>40</v>
      </c>
      <c r="S18" t="s">
        <v>58</v>
      </c>
      <c r="T18">
        <v>16</v>
      </c>
      <c r="U18" t="s">
        <v>71</v>
      </c>
      <c r="V18" t="s">
        <v>75</v>
      </c>
    </row>
    <row r="19" spans="1:22" x14ac:dyDescent="0.3">
      <c r="A19" t="s">
        <v>24</v>
      </c>
      <c r="B19">
        <v>10089</v>
      </c>
      <c r="C19" t="s">
        <v>35</v>
      </c>
      <c r="D19" t="s">
        <v>39</v>
      </c>
      <c r="E19">
        <v>5</v>
      </c>
      <c r="F19">
        <v>3</v>
      </c>
      <c r="G19">
        <v>50825</v>
      </c>
      <c r="H19" t="s">
        <v>40</v>
      </c>
      <c r="I19">
        <v>19</v>
      </c>
      <c r="J19">
        <f>Tablo47[[#This Row],[Sütun7]]*1.2</f>
        <v>60990</v>
      </c>
      <c r="K19" t="s">
        <v>44</v>
      </c>
      <c r="L19">
        <v>2169</v>
      </c>
      <c r="M19">
        <v>26909</v>
      </c>
      <c r="N19">
        <v>37172</v>
      </c>
      <c r="O19">
        <v>42632</v>
      </c>
      <c r="P19" t="s">
        <v>46</v>
      </c>
      <c r="Q19" t="s">
        <v>51</v>
      </c>
      <c r="R19" t="s">
        <v>40</v>
      </c>
      <c r="S19" t="s">
        <v>59</v>
      </c>
      <c r="T19">
        <v>39</v>
      </c>
      <c r="U19" t="s">
        <v>72</v>
      </c>
      <c r="V19" t="s">
        <v>75</v>
      </c>
    </row>
    <row r="20" spans="1:22" x14ac:dyDescent="0.3">
      <c r="A20" t="s">
        <v>25</v>
      </c>
      <c r="B20">
        <v>10002</v>
      </c>
      <c r="C20" t="s">
        <v>35</v>
      </c>
      <c r="D20" t="s">
        <v>37</v>
      </c>
      <c r="E20">
        <v>4</v>
      </c>
      <c r="F20">
        <v>4</v>
      </c>
      <c r="G20">
        <v>57568</v>
      </c>
      <c r="H20" t="s">
        <v>42</v>
      </c>
      <c r="I20">
        <v>19</v>
      </c>
      <c r="J20">
        <f>Tablo47[[#This Row],[Sütun7]]*1.2</f>
        <v>69081.599999999991</v>
      </c>
      <c r="K20" t="s">
        <v>44</v>
      </c>
      <c r="L20">
        <v>1844</v>
      </c>
      <c r="M20">
        <v>38632</v>
      </c>
      <c r="N20">
        <v>38211</v>
      </c>
      <c r="O20">
        <v>42890</v>
      </c>
      <c r="P20" t="s">
        <v>46</v>
      </c>
      <c r="Q20" t="s">
        <v>51</v>
      </c>
      <c r="R20" t="s">
        <v>40</v>
      </c>
      <c r="S20" t="s">
        <v>60</v>
      </c>
      <c r="T20">
        <v>11</v>
      </c>
      <c r="U20" t="s">
        <v>70</v>
      </c>
      <c r="V20" t="s">
        <v>75</v>
      </c>
    </row>
    <row r="21" spans="1:22" x14ac:dyDescent="0.3">
      <c r="A21" t="s">
        <v>26</v>
      </c>
      <c r="B21">
        <v>10164</v>
      </c>
      <c r="C21" t="s">
        <v>35</v>
      </c>
      <c r="D21" t="s">
        <v>37</v>
      </c>
      <c r="E21">
        <v>5</v>
      </c>
      <c r="F21">
        <v>5</v>
      </c>
      <c r="G21">
        <v>95660</v>
      </c>
      <c r="H21" t="s">
        <v>43</v>
      </c>
      <c r="I21">
        <v>24</v>
      </c>
      <c r="J21">
        <f>Tablo47[[#This Row],[Sütun7]]*1.2</f>
        <v>114792</v>
      </c>
      <c r="K21" t="s">
        <v>45</v>
      </c>
      <c r="L21">
        <v>2110</v>
      </c>
      <c r="M21">
        <v>36248</v>
      </c>
      <c r="N21">
        <v>38180</v>
      </c>
      <c r="O21">
        <v>41733</v>
      </c>
      <c r="P21" t="s">
        <v>46</v>
      </c>
      <c r="Q21" t="s">
        <v>51</v>
      </c>
      <c r="R21" t="s">
        <v>54</v>
      </c>
      <c r="S21" t="s">
        <v>61</v>
      </c>
      <c r="T21">
        <v>10</v>
      </c>
      <c r="U21" t="s">
        <v>70</v>
      </c>
      <c r="V21" t="s">
        <v>75</v>
      </c>
    </row>
    <row r="22" spans="1:22" x14ac:dyDescent="0.3">
      <c r="A22" t="s">
        <v>27</v>
      </c>
      <c r="B22">
        <v>10062</v>
      </c>
      <c r="C22" t="s">
        <v>36</v>
      </c>
      <c r="D22" t="s">
        <v>38</v>
      </c>
      <c r="E22">
        <v>3</v>
      </c>
      <c r="F22">
        <v>3</v>
      </c>
      <c r="G22">
        <v>59365</v>
      </c>
      <c r="H22" t="s">
        <v>40</v>
      </c>
      <c r="I22">
        <v>19</v>
      </c>
      <c r="J22">
        <f>Tablo47[[#This Row],[Sütun7]]*1.2</f>
        <v>71238</v>
      </c>
      <c r="K22" t="s">
        <v>44</v>
      </c>
      <c r="L22">
        <v>2199</v>
      </c>
      <c r="M22">
        <v>31168</v>
      </c>
      <c r="N22">
        <v>38580</v>
      </c>
      <c r="O22">
        <v>42615</v>
      </c>
      <c r="P22" t="s">
        <v>49</v>
      </c>
      <c r="Q22" t="s">
        <v>52</v>
      </c>
      <c r="R22" t="s">
        <v>40</v>
      </c>
      <c r="S22" t="s">
        <v>62</v>
      </c>
      <c r="T22">
        <v>19</v>
      </c>
      <c r="U22" t="s">
        <v>73</v>
      </c>
      <c r="V22" t="s">
        <v>76</v>
      </c>
    </row>
    <row r="23" spans="1:22" x14ac:dyDescent="0.3">
      <c r="A23" t="s">
        <v>28</v>
      </c>
      <c r="B23">
        <v>10114</v>
      </c>
      <c r="C23" t="s">
        <v>36</v>
      </c>
      <c r="D23" t="s">
        <v>37</v>
      </c>
      <c r="E23">
        <v>5</v>
      </c>
      <c r="F23">
        <v>4</v>
      </c>
      <c r="G23">
        <v>47837</v>
      </c>
      <c r="H23" t="s">
        <v>40</v>
      </c>
      <c r="I23">
        <v>19</v>
      </c>
      <c r="J23">
        <f>Tablo47[[#This Row],[Sütun7]]*1.2</f>
        <v>57404.4</v>
      </c>
      <c r="K23" t="s">
        <v>44</v>
      </c>
      <c r="L23">
        <v>1902</v>
      </c>
      <c r="M23">
        <v>36391</v>
      </c>
      <c r="N23">
        <v>39937</v>
      </c>
      <c r="O23">
        <v>41828</v>
      </c>
      <c r="P23" t="s">
        <v>46</v>
      </c>
      <c r="Q23" t="s">
        <v>52</v>
      </c>
      <c r="R23" t="s">
        <v>40</v>
      </c>
      <c r="S23" t="s">
        <v>63</v>
      </c>
      <c r="T23">
        <v>12</v>
      </c>
      <c r="U23" t="s">
        <v>72</v>
      </c>
      <c r="V23" t="s">
        <v>76</v>
      </c>
    </row>
    <row r="24" spans="1:22" x14ac:dyDescent="0.3">
      <c r="A24" t="s">
        <v>29</v>
      </c>
      <c r="B24">
        <v>10250</v>
      </c>
      <c r="C24" t="s">
        <v>36</v>
      </c>
      <c r="D24" t="s">
        <v>38</v>
      </c>
      <c r="E24">
        <v>5</v>
      </c>
      <c r="F24">
        <v>4</v>
      </c>
      <c r="G24">
        <v>50178</v>
      </c>
      <c r="H24" t="s">
        <v>40</v>
      </c>
      <c r="I24">
        <v>24</v>
      </c>
      <c r="J24">
        <f>Tablo47[[#This Row],[Sütun7]]*1.2</f>
        <v>60213.599999999999</v>
      </c>
      <c r="K24" t="s">
        <v>44</v>
      </c>
      <c r="L24">
        <v>2062</v>
      </c>
      <c r="M24">
        <v>37331</v>
      </c>
      <c r="N24">
        <v>38411</v>
      </c>
      <c r="O24">
        <v>41440</v>
      </c>
      <c r="P24" t="s">
        <v>46</v>
      </c>
      <c r="Q24" t="s">
        <v>52</v>
      </c>
      <c r="R24" t="s">
        <v>53</v>
      </c>
      <c r="S24" t="s">
        <v>64</v>
      </c>
      <c r="T24">
        <v>7</v>
      </c>
      <c r="U24" t="s">
        <v>71</v>
      </c>
      <c r="V24" t="s">
        <v>76</v>
      </c>
    </row>
    <row r="25" spans="1:22" x14ac:dyDescent="0.3">
      <c r="A25" t="s">
        <v>30</v>
      </c>
      <c r="B25">
        <v>10242</v>
      </c>
      <c r="C25" t="s">
        <v>35</v>
      </c>
      <c r="D25" t="s">
        <v>37</v>
      </c>
      <c r="E25">
        <v>5</v>
      </c>
      <c r="F25">
        <v>3</v>
      </c>
      <c r="G25">
        <v>54670</v>
      </c>
      <c r="H25" t="s">
        <v>40</v>
      </c>
      <c r="I25">
        <v>19</v>
      </c>
      <c r="J25">
        <f>Tablo47[[#This Row],[Sütun7]]*1.2</f>
        <v>65604</v>
      </c>
      <c r="K25" t="s">
        <v>44</v>
      </c>
      <c r="L25">
        <v>78330</v>
      </c>
      <c r="M25">
        <v>33890</v>
      </c>
      <c r="N25">
        <v>45580</v>
      </c>
      <c r="O25">
        <v>41678</v>
      </c>
      <c r="P25" t="s">
        <v>46</v>
      </c>
      <c r="Q25" t="s">
        <v>51</v>
      </c>
      <c r="R25" t="s">
        <v>40</v>
      </c>
      <c r="S25" t="s">
        <v>65</v>
      </c>
      <c r="T25">
        <v>14</v>
      </c>
      <c r="U25" t="s">
        <v>71</v>
      </c>
      <c r="V25" t="s">
        <v>76</v>
      </c>
    </row>
    <row r="26" spans="1:22" x14ac:dyDescent="0.3">
      <c r="A26" t="s">
        <v>31</v>
      </c>
      <c r="B26">
        <v>10012</v>
      </c>
      <c r="C26" t="s">
        <v>35</v>
      </c>
      <c r="D26" t="s">
        <v>38</v>
      </c>
      <c r="E26">
        <v>3</v>
      </c>
      <c r="F26">
        <v>3</v>
      </c>
      <c r="G26">
        <v>47211</v>
      </c>
      <c r="H26" t="s">
        <v>40</v>
      </c>
      <c r="I26">
        <v>19</v>
      </c>
      <c r="J26">
        <f>Tablo47[[#This Row],[Sütun7]]*1.2</f>
        <v>56653.2</v>
      </c>
      <c r="K26" t="s">
        <v>44</v>
      </c>
      <c r="L26">
        <v>2145</v>
      </c>
      <c r="M26">
        <v>42512</v>
      </c>
      <c r="N26">
        <v>38029</v>
      </c>
      <c r="O26">
        <v>42537</v>
      </c>
      <c r="P26" t="s">
        <v>46</v>
      </c>
      <c r="Q26" t="s">
        <v>51</v>
      </c>
      <c r="R26" t="s">
        <v>40</v>
      </c>
      <c r="S26" t="s">
        <v>66</v>
      </c>
      <c r="T26">
        <v>20</v>
      </c>
      <c r="U26" t="s">
        <v>74</v>
      </c>
      <c r="V26" t="s">
        <v>75</v>
      </c>
    </row>
    <row r="27" spans="1:22" x14ac:dyDescent="0.3">
      <c r="A27" t="s">
        <v>32</v>
      </c>
      <c r="B27">
        <v>10265</v>
      </c>
      <c r="C27" t="s">
        <v>35</v>
      </c>
      <c r="D27" t="s">
        <v>37</v>
      </c>
      <c r="E27">
        <v>5</v>
      </c>
      <c r="F27">
        <v>4</v>
      </c>
      <c r="G27">
        <v>50687</v>
      </c>
      <c r="H27" t="s">
        <v>40</v>
      </c>
      <c r="I27">
        <v>14</v>
      </c>
      <c r="J27">
        <f>Tablo47[[#This Row],[Sütun7]]*1.2</f>
        <v>60824.399999999994</v>
      </c>
      <c r="K27" t="s">
        <v>44</v>
      </c>
      <c r="L27">
        <v>1910</v>
      </c>
      <c r="M27">
        <v>44904</v>
      </c>
      <c r="N27">
        <v>37918</v>
      </c>
      <c r="O27">
        <v>43078</v>
      </c>
      <c r="P27" t="s">
        <v>47</v>
      </c>
      <c r="Q27" t="s">
        <v>52</v>
      </c>
      <c r="R27" t="s">
        <v>53</v>
      </c>
      <c r="S27" t="s">
        <v>67</v>
      </c>
      <c r="T27">
        <v>4</v>
      </c>
      <c r="U27" t="s">
        <v>74</v>
      </c>
      <c r="V27" t="s">
        <v>75</v>
      </c>
    </row>
    <row r="28" spans="1:22" x14ac:dyDescent="0.3">
      <c r="A28" t="s">
        <v>33</v>
      </c>
      <c r="B28">
        <v>10066</v>
      </c>
      <c r="C28" t="s">
        <v>36</v>
      </c>
      <c r="D28" t="s">
        <v>37</v>
      </c>
      <c r="E28">
        <v>5</v>
      </c>
      <c r="F28">
        <v>5</v>
      </c>
      <c r="G28">
        <v>23456</v>
      </c>
      <c r="H28" t="s">
        <v>40</v>
      </c>
      <c r="I28">
        <v>19</v>
      </c>
      <c r="J28">
        <f>Tablo47[[#This Row],[Sütun7]]*1.2</f>
        <v>28147.200000000001</v>
      </c>
      <c r="K28" t="s">
        <v>44</v>
      </c>
      <c r="L28">
        <v>2027</v>
      </c>
      <c r="M28">
        <v>37628</v>
      </c>
      <c r="N28">
        <v>41929</v>
      </c>
      <c r="O28">
        <v>42833</v>
      </c>
      <c r="P28" t="s">
        <v>47</v>
      </c>
      <c r="Q28" t="s">
        <v>52</v>
      </c>
      <c r="R28" t="s">
        <v>40</v>
      </c>
      <c r="S28" t="s">
        <v>68</v>
      </c>
      <c r="T28">
        <v>18</v>
      </c>
      <c r="U28" t="s">
        <v>70</v>
      </c>
      <c r="V28" t="s">
        <v>75</v>
      </c>
    </row>
    <row r="29" spans="1:22" x14ac:dyDescent="0.3">
      <c r="A29" t="s">
        <v>34</v>
      </c>
      <c r="B29">
        <v>10061</v>
      </c>
      <c r="C29" t="s">
        <v>36</v>
      </c>
      <c r="D29" t="s">
        <v>38</v>
      </c>
      <c r="E29">
        <v>5</v>
      </c>
      <c r="F29">
        <v>5</v>
      </c>
      <c r="G29">
        <v>46532</v>
      </c>
      <c r="H29" t="s">
        <v>40</v>
      </c>
      <c r="I29">
        <v>19</v>
      </c>
      <c r="J29">
        <f>Tablo47[[#This Row],[Sütun7]]*1.2</f>
        <v>55838.400000000001</v>
      </c>
      <c r="K29" t="s">
        <v>44</v>
      </c>
      <c r="L29">
        <v>2468</v>
      </c>
      <c r="M29">
        <v>43641</v>
      </c>
      <c r="N29">
        <v>42512</v>
      </c>
      <c r="O29">
        <v>42890</v>
      </c>
      <c r="P29" t="s">
        <v>50</v>
      </c>
      <c r="Q29" t="s">
        <v>51</v>
      </c>
      <c r="R29" t="s">
        <v>40</v>
      </c>
      <c r="S29" t="s">
        <v>69</v>
      </c>
      <c r="T29">
        <v>22</v>
      </c>
      <c r="U29" t="s">
        <v>73</v>
      </c>
      <c r="V29" t="s">
        <v>77</v>
      </c>
    </row>
    <row r="30" spans="1:22" x14ac:dyDescent="0.3">
      <c r="A30" t="s">
        <v>101</v>
      </c>
      <c r="G30">
        <f>SUBTOTAL(101,Tablo47[Sütun7])</f>
        <v>58725.333333333336</v>
      </c>
      <c r="V30">
        <f>SUBTOTAL(103,Tablo47[Sütun22])</f>
        <v>16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BDFF-D7C4-4D59-8DC8-BD46AB426BC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C8C3-5742-44A7-A662-EE96A0DE6C54}">
  <dimension ref="A1:AD17"/>
  <sheetViews>
    <sheetView tabSelected="1" workbookViewId="0">
      <selection activeCell="I6" sqref="I6"/>
    </sheetView>
  </sheetViews>
  <sheetFormatPr defaultRowHeight="14.4" x14ac:dyDescent="0.3"/>
  <cols>
    <col min="1" max="1" width="11.109375" bestFit="1" customWidth="1"/>
    <col min="2" max="2" width="14.88671875" bestFit="1" customWidth="1"/>
    <col min="3" max="3" width="10.77734375" bestFit="1" customWidth="1"/>
    <col min="4" max="4" width="9.21875" bestFit="1" customWidth="1"/>
    <col min="5" max="5" width="12.44140625" bestFit="1" customWidth="1"/>
    <col min="6" max="6" width="9.21875" bestFit="1" customWidth="1"/>
    <col min="7" max="7" width="10.109375" bestFit="1" customWidth="1"/>
    <col min="8" max="8" width="9.44140625" bestFit="1" customWidth="1"/>
    <col min="9" max="9" width="9.21875" bestFit="1" customWidth="1"/>
    <col min="10" max="10" width="11.77734375" bestFit="1" customWidth="1"/>
    <col min="11" max="11" width="9.21875" bestFit="1" customWidth="1"/>
    <col min="12" max="14" width="10.21875" customWidth="1"/>
    <col min="15" max="15" width="11.77734375" bestFit="1" customWidth="1"/>
    <col min="16" max="16" width="12.33203125" bestFit="1" customWidth="1"/>
    <col min="17" max="17" width="12.109375" bestFit="1" customWidth="1"/>
    <col min="18" max="18" width="15.77734375" bestFit="1" customWidth="1"/>
    <col min="19" max="19" width="14.33203125" bestFit="1" customWidth="1"/>
    <col min="20" max="20" width="11.77734375" bestFit="1" customWidth="1"/>
    <col min="21" max="21" width="16.88671875" bestFit="1" customWidth="1"/>
    <col min="22" max="22" width="10.21875" customWidth="1"/>
    <col min="23" max="23" width="13.88671875" bestFit="1" customWidth="1"/>
    <col min="24" max="24" width="10.44140625" bestFit="1" customWidth="1"/>
    <col min="25" max="25" width="7.21875" bestFit="1" customWidth="1"/>
    <col min="26" max="29" width="8.77734375" bestFit="1" customWidth="1"/>
    <col min="30" max="30" width="12.21875" bestFit="1" customWidth="1"/>
    <col min="31" max="31" width="10.44140625" bestFit="1" customWidth="1"/>
  </cols>
  <sheetData>
    <row r="1" spans="1:30" x14ac:dyDescent="0.3">
      <c r="A1" t="s">
        <v>102</v>
      </c>
      <c r="B1" t="s">
        <v>103</v>
      </c>
      <c r="C1" t="s">
        <v>104</v>
      </c>
      <c r="D1" s="1" t="s">
        <v>79</v>
      </c>
      <c r="E1" t="s">
        <v>80</v>
      </c>
      <c r="F1" s="1" t="s">
        <v>81</v>
      </c>
      <c r="G1" t="s">
        <v>82</v>
      </c>
      <c r="H1" s="1" t="s">
        <v>83</v>
      </c>
      <c r="I1" t="s">
        <v>84</v>
      </c>
      <c r="J1" s="1" t="s">
        <v>85</v>
      </c>
      <c r="K1" t="s">
        <v>86</v>
      </c>
      <c r="L1" s="1" t="s">
        <v>87</v>
      </c>
      <c r="M1" t="s">
        <v>88</v>
      </c>
      <c r="N1" s="1" t="s">
        <v>89</v>
      </c>
      <c r="O1" t="s">
        <v>90</v>
      </c>
      <c r="P1" s="1" t="s">
        <v>91</v>
      </c>
      <c r="Q1" t="s">
        <v>92</v>
      </c>
      <c r="R1" s="1" t="s">
        <v>93</v>
      </c>
      <c r="S1" t="s">
        <v>94</v>
      </c>
      <c r="T1" s="1" t="s">
        <v>95</v>
      </c>
      <c r="U1" t="s">
        <v>96</v>
      </c>
      <c r="V1" s="1" t="s">
        <v>97</v>
      </c>
      <c r="W1" t="s">
        <v>98</v>
      </c>
      <c r="X1" s="1" t="s">
        <v>99</v>
      </c>
      <c r="Y1" t="s">
        <v>105</v>
      </c>
      <c r="Z1" t="s">
        <v>106</v>
      </c>
      <c r="AA1" t="s">
        <v>107</v>
      </c>
      <c r="AB1" t="s">
        <v>108</v>
      </c>
      <c r="AC1" t="s">
        <v>109</v>
      </c>
      <c r="AD1" t="s">
        <v>110</v>
      </c>
    </row>
    <row r="2" spans="1:30" x14ac:dyDescent="0.3">
      <c r="A2" s="1" t="s">
        <v>0</v>
      </c>
      <c r="B2" s="1"/>
      <c r="C2" s="1"/>
      <c r="D2" s="1" t="s">
        <v>1</v>
      </c>
      <c r="E2" s="1" t="s">
        <v>2</v>
      </c>
      <c r="F2" s="1" t="s">
        <v>3</v>
      </c>
      <c r="G2" t="s">
        <v>4</v>
      </c>
      <c r="H2" s="1" t="s">
        <v>5</v>
      </c>
      <c r="I2" t="s">
        <v>6</v>
      </c>
      <c r="J2" s="1" t="s">
        <v>7</v>
      </c>
      <c r="K2" t="s">
        <v>8</v>
      </c>
      <c r="L2" s="1" t="s">
        <v>100</v>
      </c>
      <c r="M2" s="1" t="s">
        <v>9</v>
      </c>
      <c r="N2" s="1" t="s">
        <v>10</v>
      </c>
      <c r="O2" t="s">
        <v>11</v>
      </c>
      <c r="P2" s="1" t="s">
        <v>12</v>
      </c>
      <c r="Q2" t="s">
        <v>13</v>
      </c>
      <c r="R2" s="1" t="s">
        <v>14</v>
      </c>
      <c r="S2" s="1" t="s">
        <v>15</v>
      </c>
      <c r="T2" s="1" t="s">
        <v>4</v>
      </c>
      <c r="U2" s="1" t="s">
        <v>16</v>
      </c>
      <c r="V2" s="1" t="s">
        <v>17</v>
      </c>
      <c r="W2" s="1" t="s">
        <v>18</v>
      </c>
      <c r="X2" s="1" t="s">
        <v>19</v>
      </c>
      <c r="Y2">
        <v>0</v>
      </c>
      <c r="Z2">
        <v>0</v>
      </c>
      <c r="AA2">
        <v>0</v>
      </c>
      <c r="AB2">
        <v>0</v>
      </c>
      <c r="AC2">
        <v>1</v>
      </c>
      <c r="AD2" s="1" t="s">
        <v>111</v>
      </c>
    </row>
    <row r="3" spans="1:30" x14ac:dyDescent="0.3">
      <c r="A3" s="1" t="s">
        <v>112</v>
      </c>
      <c r="B3" s="1" t="s">
        <v>113</v>
      </c>
      <c r="C3" s="1" t="s">
        <v>114</v>
      </c>
      <c r="D3" s="1">
        <v>10026</v>
      </c>
      <c r="E3" s="1" t="s">
        <v>35</v>
      </c>
      <c r="F3" s="1" t="s">
        <v>115</v>
      </c>
      <c r="G3">
        <v>5</v>
      </c>
      <c r="H3" s="1">
        <v>4</v>
      </c>
      <c r="I3">
        <v>62508</v>
      </c>
      <c r="J3" s="1" t="s">
        <v>40</v>
      </c>
      <c r="K3">
        <v>19</v>
      </c>
      <c r="L3" s="1">
        <v>75009.599999999991</v>
      </c>
      <c r="M3" s="1" t="s">
        <v>44</v>
      </c>
      <c r="N3" s="1">
        <v>1960</v>
      </c>
      <c r="O3">
        <v>34340</v>
      </c>
      <c r="P3" s="1">
        <v>45499</v>
      </c>
      <c r="Q3">
        <v>42537</v>
      </c>
      <c r="R3" s="1" t="s">
        <v>46</v>
      </c>
      <c r="S3" s="1" t="s">
        <v>51</v>
      </c>
      <c r="T3" s="1" t="s">
        <v>40</v>
      </c>
      <c r="U3" s="1" t="s">
        <v>55</v>
      </c>
      <c r="V3" s="1">
        <v>22</v>
      </c>
      <c r="W3" s="1" t="s">
        <v>70</v>
      </c>
      <c r="X3" s="1" t="s">
        <v>75</v>
      </c>
      <c r="Y3">
        <v>1</v>
      </c>
      <c r="Z3">
        <v>1</v>
      </c>
      <c r="AA3">
        <v>1</v>
      </c>
      <c r="AB3">
        <v>1</v>
      </c>
      <c r="AC3">
        <v>2</v>
      </c>
      <c r="AD3" s="1" t="s">
        <v>116</v>
      </c>
    </row>
    <row r="4" spans="1:30" x14ac:dyDescent="0.3">
      <c r="A4" s="1" t="s">
        <v>117</v>
      </c>
      <c r="B4" s="1" t="s">
        <v>118</v>
      </c>
      <c r="C4" s="1"/>
      <c r="D4" s="1">
        <v>10084</v>
      </c>
      <c r="E4" s="1" t="s">
        <v>36</v>
      </c>
      <c r="F4" s="1" t="s">
        <v>115</v>
      </c>
      <c r="G4">
        <v>3</v>
      </c>
      <c r="H4" s="1">
        <v>3</v>
      </c>
      <c r="I4">
        <v>104437</v>
      </c>
      <c r="J4" s="1" t="s">
        <v>41</v>
      </c>
      <c r="K4">
        <v>27</v>
      </c>
      <c r="L4" s="1">
        <v>125324.4</v>
      </c>
      <c r="M4" s="1" t="s">
        <v>44</v>
      </c>
      <c r="N4" s="1">
        <v>2148</v>
      </c>
      <c r="O4">
        <v>34472</v>
      </c>
      <c r="P4" s="1">
        <v>45828</v>
      </c>
      <c r="Q4">
        <v>41176</v>
      </c>
      <c r="R4" s="1" t="s">
        <v>47</v>
      </c>
      <c r="S4" s="1" t="s">
        <v>51</v>
      </c>
      <c r="T4" s="1" t="s">
        <v>53</v>
      </c>
      <c r="U4" s="1" t="s">
        <v>56</v>
      </c>
      <c r="V4" s="1">
        <v>4</v>
      </c>
      <c r="W4" s="1" t="s">
        <v>71</v>
      </c>
      <c r="X4" s="1" t="s">
        <v>76</v>
      </c>
      <c r="Y4">
        <v>2</v>
      </c>
      <c r="Z4">
        <v>2</v>
      </c>
      <c r="AA4">
        <v>2</v>
      </c>
      <c r="AB4">
        <v>2</v>
      </c>
      <c r="AC4">
        <v>3</v>
      </c>
      <c r="AD4" s="1" t="s">
        <v>119</v>
      </c>
    </row>
    <row r="5" spans="1:30" x14ac:dyDescent="0.3">
      <c r="A5" s="1" t="s">
        <v>120</v>
      </c>
      <c r="B5" s="1" t="s">
        <v>121</v>
      </c>
      <c r="C5" s="1"/>
      <c r="D5" s="1">
        <v>10196</v>
      </c>
      <c r="E5" s="1" t="s">
        <v>36</v>
      </c>
      <c r="F5" s="1" t="s">
        <v>122</v>
      </c>
      <c r="G5">
        <v>5</v>
      </c>
      <c r="H5" s="1">
        <v>3</v>
      </c>
      <c r="I5">
        <v>64955</v>
      </c>
      <c r="J5" s="1" t="s">
        <v>40</v>
      </c>
      <c r="K5">
        <v>20</v>
      </c>
      <c r="L5" s="1">
        <v>77946</v>
      </c>
      <c r="M5" s="1" t="s">
        <v>44</v>
      </c>
      <c r="N5" s="1">
        <v>1610</v>
      </c>
      <c r="O5">
        <v>27925</v>
      </c>
      <c r="P5" s="1">
        <v>44471</v>
      </c>
      <c r="Q5">
        <v>42530</v>
      </c>
      <c r="R5" s="1" t="s">
        <v>46</v>
      </c>
      <c r="S5" s="1" t="s">
        <v>52</v>
      </c>
      <c r="T5" s="1" t="s">
        <v>40</v>
      </c>
      <c r="U5" s="1" t="s">
        <v>57</v>
      </c>
      <c r="V5" s="1">
        <v>20</v>
      </c>
      <c r="W5" s="1" t="s">
        <v>70</v>
      </c>
      <c r="X5" s="1" t="s">
        <v>75</v>
      </c>
      <c r="Y5">
        <v>3</v>
      </c>
      <c r="Z5">
        <v>3</v>
      </c>
      <c r="AA5">
        <v>3</v>
      </c>
      <c r="AB5">
        <v>3</v>
      </c>
      <c r="AC5">
        <v>4</v>
      </c>
      <c r="AD5" s="1" t="s">
        <v>116</v>
      </c>
    </row>
    <row r="6" spans="1:30" x14ac:dyDescent="0.3">
      <c r="A6" s="1" t="s">
        <v>123</v>
      </c>
      <c r="B6" s="1" t="s">
        <v>124</v>
      </c>
      <c r="C6" s="1"/>
      <c r="D6" s="1">
        <v>10088</v>
      </c>
      <c r="E6" s="1" t="s">
        <v>36</v>
      </c>
      <c r="F6" s="1" t="s">
        <v>122</v>
      </c>
      <c r="G6">
        <v>5</v>
      </c>
      <c r="H6" s="1">
        <v>3</v>
      </c>
      <c r="I6">
        <v>64991</v>
      </c>
      <c r="J6" s="1" t="s">
        <v>40</v>
      </c>
      <c r="K6">
        <v>19</v>
      </c>
      <c r="L6" s="1">
        <v>77989.2</v>
      </c>
      <c r="M6" s="1" t="s">
        <v>44</v>
      </c>
      <c r="N6" s="1">
        <v>1866</v>
      </c>
      <c r="O6">
        <v>37377</v>
      </c>
      <c r="P6" s="1">
        <v>37708</v>
      </c>
      <c r="Q6">
        <v>43070</v>
      </c>
      <c r="R6" s="1" t="s">
        <v>48</v>
      </c>
      <c r="S6" s="1" t="s">
        <v>52</v>
      </c>
      <c r="T6" s="1" t="s">
        <v>40</v>
      </c>
      <c r="U6" s="1" t="s">
        <v>58</v>
      </c>
      <c r="V6" s="1">
        <v>16</v>
      </c>
      <c r="W6" s="1" t="s">
        <v>71</v>
      </c>
      <c r="X6" s="1" t="s">
        <v>75</v>
      </c>
      <c r="Y6">
        <v>4</v>
      </c>
      <c r="Z6">
        <v>4</v>
      </c>
      <c r="AA6">
        <v>4</v>
      </c>
      <c r="AB6">
        <v>4</v>
      </c>
      <c r="AC6">
        <v>5</v>
      </c>
      <c r="AD6" s="1" t="s">
        <v>116</v>
      </c>
    </row>
    <row r="7" spans="1:30" x14ac:dyDescent="0.3">
      <c r="A7" s="1" t="s">
        <v>125</v>
      </c>
      <c r="B7" s="1" t="s">
        <v>126</v>
      </c>
      <c r="C7" s="1"/>
      <c r="D7" s="1">
        <v>10089</v>
      </c>
      <c r="E7" s="1" t="s">
        <v>35</v>
      </c>
      <c r="F7" s="1" t="s">
        <v>39</v>
      </c>
      <c r="G7">
        <v>5</v>
      </c>
      <c r="H7" s="1">
        <v>3</v>
      </c>
      <c r="I7">
        <v>50825</v>
      </c>
      <c r="J7" s="1" t="s">
        <v>40</v>
      </c>
      <c r="K7">
        <v>19</v>
      </c>
      <c r="L7" s="1">
        <v>60990</v>
      </c>
      <c r="M7" s="1" t="s">
        <v>44</v>
      </c>
      <c r="N7" s="1">
        <v>2169</v>
      </c>
      <c r="O7">
        <v>26909</v>
      </c>
      <c r="P7" s="1">
        <v>37172</v>
      </c>
      <c r="Q7">
        <v>42632</v>
      </c>
      <c r="R7" s="1" t="s">
        <v>46</v>
      </c>
      <c r="S7" s="1" t="s">
        <v>51</v>
      </c>
      <c r="T7" s="1" t="s">
        <v>40</v>
      </c>
      <c r="U7" s="1" t="s">
        <v>59</v>
      </c>
      <c r="V7" s="1">
        <v>39</v>
      </c>
      <c r="W7" s="1" t="s">
        <v>72</v>
      </c>
      <c r="X7" s="1" t="s">
        <v>75</v>
      </c>
      <c r="Y7">
        <v>5</v>
      </c>
      <c r="Z7">
        <v>5</v>
      </c>
      <c r="AA7">
        <v>5</v>
      </c>
      <c r="AB7">
        <v>5</v>
      </c>
      <c r="AC7">
        <v>6</v>
      </c>
      <c r="AD7" s="1" t="s">
        <v>116</v>
      </c>
    </row>
    <row r="8" spans="1:30" x14ac:dyDescent="0.3">
      <c r="A8" s="1" t="s">
        <v>127</v>
      </c>
      <c r="B8" s="1" t="s">
        <v>128</v>
      </c>
      <c r="C8" s="1"/>
      <c r="D8" s="1">
        <v>10002</v>
      </c>
      <c r="E8" s="1" t="s">
        <v>35</v>
      </c>
      <c r="F8" s="1" t="s">
        <v>115</v>
      </c>
      <c r="G8">
        <v>4</v>
      </c>
      <c r="H8" s="1">
        <v>4</v>
      </c>
      <c r="I8">
        <v>57568</v>
      </c>
      <c r="J8" s="1" t="s">
        <v>42</v>
      </c>
      <c r="K8">
        <v>19</v>
      </c>
      <c r="L8" s="1">
        <v>69081.599999999991</v>
      </c>
      <c r="M8" s="1" t="s">
        <v>44</v>
      </c>
      <c r="N8" s="1">
        <v>1844</v>
      </c>
      <c r="O8">
        <v>38632</v>
      </c>
      <c r="P8" s="1">
        <v>38211</v>
      </c>
      <c r="Q8">
        <v>42890</v>
      </c>
      <c r="R8" s="1" t="s">
        <v>46</v>
      </c>
      <c r="S8" s="1" t="s">
        <v>51</v>
      </c>
      <c r="T8" s="1" t="s">
        <v>40</v>
      </c>
      <c r="U8" s="1" t="s">
        <v>60</v>
      </c>
      <c r="V8" s="1">
        <v>11</v>
      </c>
      <c r="W8" s="1" t="s">
        <v>70</v>
      </c>
      <c r="X8" s="1" t="s">
        <v>75</v>
      </c>
      <c r="Y8">
        <v>6</v>
      </c>
      <c r="Z8">
        <v>6</v>
      </c>
      <c r="AA8">
        <v>6</v>
      </c>
      <c r="AB8">
        <v>6</v>
      </c>
      <c r="AC8">
        <v>7</v>
      </c>
      <c r="AD8" s="1" t="s">
        <v>116</v>
      </c>
    </row>
    <row r="9" spans="1:30" x14ac:dyDescent="0.3">
      <c r="A9" s="1" t="s">
        <v>129</v>
      </c>
      <c r="B9" s="1" t="s">
        <v>130</v>
      </c>
      <c r="C9" s="1" t="s">
        <v>131</v>
      </c>
      <c r="D9" s="1">
        <v>10164</v>
      </c>
      <c r="E9" s="1" t="s">
        <v>35</v>
      </c>
      <c r="F9" s="1" t="s">
        <v>115</v>
      </c>
      <c r="G9">
        <v>5</v>
      </c>
      <c r="H9" s="1">
        <v>5</v>
      </c>
      <c r="I9">
        <v>95660</v>
      </c>
      <c r="J9" s="1" t="s">
        <v>43</v>
      </c>
      <c r="K9">
        <v>24</v>
      </c>
      <c r="L9" s="1">
        <v>114792</v>
      </c>
      <c r="M9" s="1" t="s">
        <v>45</v>
      </c>
      <c r="N9" s="1">
        <v>2110</v>
      </c>
      <c r="O9">
        <v>36248</v>
      </c>
      <c r="P9" s="1">
        <v>38180</v>
      </c>
      <c r="Q9">
        <v>41733</v>
      </c>
      <c r="R9" s="1" t="s">
        <v>46</v>
      </c>
      <c r="S9" s="1" t="s">
        <v>51</v>
      </c>
      <c r="T9" s="1" t="s">
        <v>54</v>
      </c>
      <c r="U9" s="1" t="s">
        <v>61</v>
      </c>
      <c r="V9" s="1">
        <v>10</v>
      </c>
      <c r="W9" s="1" t="s">
        <v>70</v>
      </c>
      <c r="X9" s="1" t="s">
        <v>75</v>
      </c>
      <c r="Y9">
        <v>7</v>
      </c>
      <c r="Z9">
        <v>7</v>
      </c>
      <c r="AA9">
        <v>7</v>
      </c>
      <c r="AB9">
        <v>7</v>
      </c>
      <c r="AC9">
        <v>8</v>
      </c>
      <c r="AD9" s="1" t="s">
        <v>116</v>
      </c>
    </row>
    <row r="10" spans="1:30" x14ac:dyDescent="0.3">
      <c r="A10" s="1" t="s">
        <v>132</v>
      </c>
      <c r="B10" s="1" t="s">
        <v>133</v>
      </c>
      <c r="C10" s="1"/>
      <c r="D10" s="1">
        <v>10062</v>
      </c>
      <c r="E10" s="1" t="s">
        <v>36</v>
      </c>
      <c r="F10" s="1" t="s">
        <v>122</v>
      </c>
      <c r="G10">
        <v>3</v>
      </c>
      <c r="H10" s="1">
        <v>3</v>
      </c>
      <c r="I10">
        <v>59365</v>
      </c>
      <c r="J10" s="1" t="s">
        <v>40</v>
      </c>
      <c r="K10">
        <v>19</v>
      </c>
      <c r="L10" s="1">
        <v>71238</v>
      </c>
      <c r="M10" s="1" t="s">
        <v>44</v>
      </c>
      <c r="N10" s="1">
        <v>2199</v>
      </c>
      <c r="O10">
        <v>31168</v>
      </c>
      <c r="P10" s="1">
        <v>38580</v>
      </c>
      <c r="Q10">
        <v>42615</v>
      </c>
      <c r="R10" s="1" t="s">
        <v>49</v>
      </c>
      <c r="S10" s="1" t="s">
        <v>52</v>
      </c>
      <c r="T10" s="1" t="s">
        <v>40</v>
      </c>
      <c r="U10" s="1" t="s">
        <v>62</v>
      </c>
      <c r="V10" s="1">
        <v>19</v>
      </c>
      <c r="W10" s="1" t="s">
        <v>73</v>
      </c>
      <c r="X10" s="1" t="s">
        <v>76</v>
      </c>
      <c r="Y10">
        <v>8</v>
      </c>
      <c r="Z10">
        <v>8</v>
      </c>
      <c r="AA10">
        <v>8</v>
      </c>
      <c r="AB10">
        <v>8</v>
      </c>
      <c r="AC10">
        <v>9</v>
      </c>
      <c r="AD10" s="1" t="s">
        <v>119</v>
      </c>
    </row>
    <row r="11" spans="1:30" x14ac:dyDescent="0.3">
      <c r="A11" s="1" t="s">
        <v>134</v>
      </c>
      <c r="B11" s="1" t="s">
        <v>135</v>
      </c>
      <c r="C11" s="1"/>
      <c r="D11" s="1">
        <v>10114</v>
      </c>
      <c r="E11" s="1" t="s">
        <v>36</v>
      </c>
      <c r="F11" s="1" t="s">
        <v>115</v>
      </c>
      <c r="G11">
        <v>5</v>
      </c>
      <c r="H11" s="1">
        <v>4</v>
      </c>
      <c r="I11">
        <v>47837</v>
      </c>
      <c r="J11" s="1" t="s">
        <v>40</v>
      </c>
      <c r="K11">
        <v>19</v>
      </c>
      <c r="L11" s="1">
        <v>57404.4</v>
      </c>
      <c r="M11" s="1" t="s">
        <v>44</v>
      </c>
      <c r="N11" s="1">
        <v>1902</v>
      </c>
      <c r="O11">
        <v>36391</v>
      </c>
      <c r="P11" s="1">
        <v>39937</v>
      </c>
      <c r="Q11">
        <v>41828</v>
      </c>
      <c r="R11" s="1" t="s">
        <v>46</v>
      </c>
      <c r="S11" s="1" t="s">
        <v>52</v>
      </c>
      <c r="T11" s="1" t="s">
        <v>40</v>
      </c>
      <c r="U11" s="1" t="s">
        <v>63</v>
      </c>
      <c r="V11" s="1">
        <v>12</v>
      </c>
      <c r="W11" s="1" t="s">
        <v>72</v>
      </c>
      <c r="X11" s="1" t="s">
        <v>76</v>
      </c>
      <c r="Y11">
        <v>9</v>
      </c>
      <c r="Z11">
        <v>9</v>
      </c>
      <c r="AA11">
        <v>9</v>
      </c>
      <c r="AB11">
        <v>9</v>
      </c>
      <c r="AC11">
        <v>10</v>
      </c>
      <c r="AD11" s="1" t="s">
        <v>119</v>
      </c>
    </row>
    <row r="12" spans="1:30" x14ac:dyDescent="0.3">
      <c r="A12" s="1" t="s">
        <v>136</v>
      </c>
      <c r="B12" s="1" t="s">
        <v>137</v>
      </c>
      <c r="C12" s="1"/>
      <c r="D12" s="1">
        <v>10250</v>
      </c>
      <c r="E12" s="1" t="s">
        <v>36</v>
      </c>
      <c r="F12" s="1" t="s">
        <v>122</v>
      </c>
      <c r="G12">
        <v>5</v>
      </c>
      <c r="H12" s="1">
        <v>4</v>
      </c>
      <c r="I12">
        <v>50178</v>
      </c>
      <c r="J12" s="1" t="s">
        <v>40</v>
      </c>
      <c r="K12">
        <v>24</v>
      </c>
      <c r="L12" s="1">
        <v>60213.599999999999</v>
      </c>
      <c r="M12" s="1" t="s">
        <v>44</v>
      </c>
      <c r="N12" s="1">
        <v>2062</v>
      </c>
      <c r="O12">
        <v>37331</v>
      </c>
      <c r="P12" s="1">
        <v>38411</v>
      </c>
      <c r="Q12">
        <v>41440</v>
      </c>
      <c r="R12" s="1" t="s">
        <v>46</v>
      </c>
      <c r="S12" s="1" t="s">
        <v>52</v>
      </c>
      <c r="T12" s="1" t="s">
        <v>53</v>
      </c>
      <c r="U12" s="1" t="s">
        <v>64</v>
      </c>
      <c r="V12" s="1">
        <v>7</v>
      </c>
      <c r="W12" s="1" t="s">
        <v>71</v>
      </c>
      <c r="X12" s="1" t="s">
        <v>76</v>
      </c>
      <c r="Y12">
        <v>10</v>
      </c>
      <c r="Z12">
        <v>10</v>
      </c>
      <c r="AA12">
        <v>10</v>
      </c>
      <c r="AB12">
        <v>10</v>
      </c>
      <c r="AC12">
        <v>11</v>
      </c>
      <c r="AD12" s="1" t="s">
        <v>119</v>
      </c>
    </row>
    <row r="13" spans="1:30" x14ac:dyDescent="0.3">
      <c r="A13" s="1" t="s">
        <v>138</v>
      </c>
      <c r="B13" s="1" t="s">
        <v>139</v>
      </c>
      <c r="C13" s="1"/>
      <c r="D13" s="1">
        <v>10242</v>
      </c>
      <c r="E13" s="1" t="s">
        <v>35</v>
      </c>
      <c r="F13" s="1" t="s">
        <v>115</v>
      </c>
      <c r="G13">
        <v>5</v>
      </c>
      <c r="H13" s="1">
        <v>3</v>
      </c>
      <c r="I13">
        <v>54670</v>
      </c>
      <c r="J13" s="1" t="s">
        <v>40</v>
      </c>
      <c r="K13">
        <v>19</v>
      </c>
      <c r="L13" s="1">
        <v>65604</v>
      </c>
      <c r="M13" s="1" t="s">
        <v>44</v>
      </c>
      <c r="N13" s="1">
        <v>78330</v>
      </c>
      <c r="O13">
        <v>33890</v>
      </c>
      <c r="P13" s="1">
        <v>45580</v>
      </c>
      <c r="Q13">
        <v>41678</v>
      </c>
      <c r="R13" s="1" t="s">
        <v>46</v>
      </c>
      <c r="S13" s="1" t="s">
        <v>51</v>
      </c>
      <c r="T13" s="1" t="s">
        <v>40</v>
      </c>
      <c r="U13" s="1" t="s">
        <v>65</v>
      </c>
      <c r="V13" s="1">
        <v>14</v>
      </c>
      <c r="W13" s="1" t="s">
        <v>71</v>
      </c>
      <c r="X13" s="1" t="s">
        <v>76</v>
      </c>
      <c r="Y13">
        <v>11</v>
      </c>
      <c r="Z13">
        <v>11</v>
      </c>
      <c r="AA13">
        <v>11</v>
      </c>
      <c r="AB13">
        <v>11</v>
      </c>
      <c r="AC13">
        <v>12</v>
      </c>
      <c r="AD13" s="1" t="s">
        <v>119</v>
      </c>
    </row>
    <row r="14" spans="1:30" x14ac:dyDescent="0.3">
      <c r="A14" s="1" t="s">
        <v>140</v>
      </c>
      <c r="B14" s="1" t="s">
        <v>141</v>
      </c>
      <c r="C14" s="1"/>
      <c r="D14" s="1">
        <v>10012</v>
      </c>
      <c r="E14" s="1" t="s">
        <v>35</v>
      </c>
      <c r="F14" s="1" t="s">
        <v>122</v>
      </c>
      <c r="G14">
        <v>3</v>
      </c>
      <c r="H14" s="1">
        <v>3</v>
      </c>
      <c r="I14">
        <v>47211</v>
      </c>
      <c r="J14" s="1" t="s">
        <v>40</v>
      </c>
      <c r="K14">
        <v>19</v>
      </c>
      <c r="L14" s="1">
        <v>56653.2</v>
      </c>
      <c r="M14" s="1" t="s">
        <v>44</v>
      </c>
      <c r="N14" s="1">
        <v>2145</v>
      </c>
      <c r="O14">
        <v>42512</v>
      </c>
      <c r="P14" s="1">
        <v>38029</v>
      </c>
      <c r="Q14">
        <v>42537</v>
      </c>
      <c r="R14" s="1" t="s">
        <v>46</v>
      </c>
      <c r="S14" s="1" t="s">
        <v>51</v>
      </c>
      <c r="T14" s="1" t="s">
        <v>40</v>
      </c>
      <c r="U14" s="1" t="s">
        <v>66</v>
      </c>
      <c r="V14" s="1">
        <v>20</v>
      </c>
      <c r="W14" s="1" t="s">
        <v>74</v>
      </c>
      <c r="X14" s="1" t="s">
        <v>75</v>
      </c>
      <c r="Y14">
        <v>12</v>
      </c>
      <c r="Z14">
        <v>12</v>
      </c>
      <c r="AA14">
        <v>12</v>
      </c>
      <c r="AB14">
        <v>12</v>
      </c>
      <c r="AC14">
        <v>13</v>
      </c>
      <c r="AD14" s="1" t="s">
        <v>116</v>
      </c>
    </row>
    <row r="15" spans="1:30" x14ac:dyDescent="0.3">
      <c r="A15" s="1" t="s">
        <v>142</v>
      </c>
      <c r="B15" s="1" t="s">
        <v>143</v>
      </c>
      <c r="C15" s="1"/>
      <c r="D15" s="1">
        <v>10265</v>
      </c>
      <c r="E15" s="1" t="s">
        <v>35</v>
      </c>
      <c r="F15" s="1" t="s">
        <v>115</v>
      </c>
      <c r="G15">
        <v>5</v>
      </c>
      <c r="H15" s="1">
        <v>4</v>
      </c>
      <c r="I15">
        <v>50687</v>
      </c>
      <c r="J15" s="1" t="s">
        <v>40</v>
      </c>
      <c r="K15">
        <v>14</v>
      </c>
      <c r="L15" s="1">
        <v>60824.399999999994</v>
      </c>
      <c r="M15" s="1" t="s">
        <v>44</v>
      </c>
      <c r="N15" s="1">
        <v>1910</v>
      </c>
      <c r="O15">
        <v>44904</v>
      </c>
      <c r="P15" s="1">
        <v>37918</v>
      </c>
      <c r="Q15">
        <v>43078</v>
      </c>
      <c r="R15" s="1" t="s">
        <v>47</v>
      </c>
      <c r="S15" s="1" t="s">
        <v>52</v>
      </c>
      <c r="T15" s="1" t="s">
        <v>53</v>
      </c>
      <c r="U15" s="1" t="s">
        <v>67</v>
      </c>
      <c r="V15" s="1">
        <v>4</v>
      </c>
      <c r="W15" s="1" t="s">
        <v>74</v>
      </c>
      <c r="X15" s="1" t="s">
        <v>75</v>
      </c>
      <c r="Y15">
        <v>13</v>
      </c>
      <c r="Z15">
        <v>13</v>
      </c>
      <c r="AA15">
        <v>13</v>
      </c>
      <c r="AB15">
        <v>13</v>
      </c>
      <c r="AC15">
        <v>14</v>
      </c>
      <c r="AD15" s="1" t="s">
        <v>116</v>
      </c>
    </row>
    <row r="16" spans="1:30" x14ac:dyDescent="0.3">
      <c r="A16" s="1" t="s">
        <v>132</v>
      </c>
      <c r="B16" s="1" t="s">
        <v>144</v>
      </c>
      <c r="C16" s="1"/>
      <c r="D16" s="1">
        <v>10066</v>
      </c>
      <c r="E16" s="1" t="s">
        <v>36</v>
      </c>
      <c r="F16" s="1" t="s">
        <v>115</v>
      </c>
      <c r="G16">
        <v>5</v>
      </c>
      <c r="H16" s="1">
        <v>5</v>
      </c>
      <c r="I16">
        <v>23456</v>
      </c>
      <c r="J16" s="1" t="s">
        <v>40</v>
      </c>
      <c r="K16">
        <v>19</v>
      </c>
      <c r="L16" s="1">
        <v>28147.200000000001</v>
      </c>
      <c r="M16" s="1" t="s">
        <v>44</v>
      </c>
      <c r="N16" s="1">
        <v>2027</v>
      </c>
      <c r="O16">
        <v>37628</v>
      </c>
      <c r="P16" s="1">
        <v>41929</v>
      </c>
      <c r="Q16">
        <v>42833</v>
      </c>
      <c r="R16" s="1" t="s">
        <v>47</v>
      </c>
      <c r="S16" s="1" t="s">
        <v>52</v>
      </c>
      <c r="T16" s="1" t="s">
        <v>40</v>
      </c>
      <c r="U16" s="1" t="s">
        <v>68</v>
      </c>
      <c r="V16" s="1">
        <v>18</v>
      </c>
      <c r="W16" s="1" t="s">
        <v>70</v>
      </c>
      <c r="X16" s="1" t="s">
        <v>75</v>
      </c>
      <c r="Y16">
        <v>14</v>
      </c>
      <c r="Z16">
        <v>14</v>
      </c>
      <c r="AA16">
        <v>14</v>
      </c>
      <c r="AB16">
        <v>14</v>
      </c>
      <c r="AC16">
        <v>15</v>
      </c>
      <c r="AD16" s="1" t="s">
        <v>116</v>
      </c>
    </row>
    <row r="17" spans="1:30" x14ac:dyDescent="0.3">
      <c r="A17" s="1" t="s">
        <v>145</v>
      </c>
      <c r="B17" s="1" t="s">
        <v>118</v>
      </c>
      <c r="C17" s="1"/>
      <c r="D17">
        <v>10061</v>
      </c>
      <c r="E17" s="1" t="s">
        <v>36</v>
      </c>
      <c r="F17" s="1" t="s">
        <v>122</v>
      </c>
      <c r="G17">
        <v>5</v>
      </c>
      <c r="H17">
        <v>5</v>
      </c>
      <c r="I17">
        <v>46532</v>
      </c>
      <c r="J17" s="1" t="s">
        <v>40</v>
      </c>
      <c r="K17">
        <v>19</v>
      </c>
      <c r="L17">
        <v>55838.400000000001</v>
      </c>
      <c r="M17" s="1" t="s">
        <v>44</v>
      </c>
      <c r="N17">
        <v>2468</v>
      </c>
      <c r="O17">
        <v>43641</v>
      </c>
      <c r="P17">
        <v>42512</v>
      </c>
      <c r="Q17">
        <v>42890</v>
      </c>
      <c r="R17" s="1" t="s">
        <v>50</v>
      </c>
      <c r="S17" s="1" t="s">
        <v>51</v>
      </c>
      <c r="T17" s="1" t="s">
        <v>40</v>
      </c>
      <c r="U17" s="1" t="s">
        <v>69</v>
      </c>
      <c r="V17">
        <v>22</v>
      </c>
      <c r="W17" s="1" t="s">
        <v>73</v>
      </c>
      <c r="X17" s="1" t="s">
        <v>77</v>
      </c>
      <c r="Y17">
        <v>15</v>
      </c>
      <c r="Z17">
        <v>15</v>
      </c>
      <c r="AA17">
        <v>15</v>
      </c>
      <c r="AB17">
        <v>15</v>
      </c>
      <c r="AC17">
        <v>16</v>
      </c>
      <c r="AD17" s="1" t="s">
        <v>119</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AD39C9-EA4C-43A3-BB23-539D2AF790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Sayfa2</vt:lpstr>
      <vt:lpstr>Sayfa3</vt:lpstr>
      <vt:lpstr>Sayfa4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baran Mavuzer</dc:creator>
  <cp:lastModifiedBy>baran Mavuzer</cp:lastModifiedBy>
  <dcterms:created xsi:type="dcterms:W3CDTF">2026-01-27T13:53:05Z</dcterms:created>
  <dcterms:modified xsi:type="dcterms:W3CDTF">2026-01-27T21:13:46Z</dcterms:modified>
</cp:coreProperties>
</file>