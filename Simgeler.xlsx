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1" documentId="8_{545D470E-16F8-41BE-92E3-5778EB2BD6D3}" xr6:coauthVersionLast="47" xr6:coauthVersionMax="47" xr10:uidLastSave="{9B8FC63E-1AF2-49BE-BD9A-9A926078B5AA}"/>
  <bookViews>
    <workbookView xWindow="-108" yWindow="-108" windowWidth="23256" windowHeight="12456" xr2:uid="{1E7A3532-C59D-407D-9AF8-E08582C40E5F}"/>
  </bookViews>
  <sheets>
    <sheet name="Sayfa1" sheetId="1" r:id="rId1"/>
  </sheets>
  <definedNames>
    <definedName name="_xlnm._FilterDatabase" localSheetId="0" hidden="1">Sayfa1!$A$1:$E$1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8" i="1"/>
  <c r="I6" i="1"/>
  <c r="I7" i="1"/>
  <c r="I8" i="1"/>
  <c r="I9" i="1"/>
  <c r="I10" i="1"/>
  <c r="I11" i="1"/>
  <c r="I12" i="1"/>
  <c r="I13" i="1"/>
  <c r="I14" i="1"/>
  <c r="I16" i="1"/>
  <c r="I17" i="1"/>
  <c r="I19" i="1"/>
  <c r="I20" i="1"/>
  <c r="I21" i="1"/>
  <c r="I22" i="1"/>
  <c r="I5" i="1"/>
  <c r="I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<sst xmlns="http://schemas.openxmlformats.org/spreadsheetml/2006/main" count="72" uniqueCount="34">
  <si>
    <t>Bölgeler</t>
  </si>
  <si>
    <t>İller</t>
  </si>
  <si>
    <t>Gelir</t>
  </si>
  <si>
    <t>Gider</t>
  </si>
  <si>
    <t>Net</t>
  </si>
  <si>
    <t>Akdeniz</t>
  </si>
  <si>
    <t>Adana</t>
  </si>
  <si>
    <t>Ege</t>
  </si>
  <si>
    <t>Afyon</t>
  </si>
  <si>
    <t>Antalya</t>
  </si>
  <si>
    <t>Aydın</t>
  </si>
  <si>
    <t>Balıkesir</t>
  </si>
  <si>
    <t>Burdur</t>
  </si>
  <si>
    <t>Marmara</t>
  </si>
  <si>
    <t>Bursa</t>
  </si>
  <si>
    <t>Çanakkale</t>
  </si>
  <si>
    <t>Denizli</t>
  </si>
  <si>
    <t>Edirne</t>
  </si>
  <si>
    <t>İskenderun</t>
  </si>
  <si>
    <t>İstanbul</t>
  </si>
  <si>
    <t>İzmir</t>
  </si>
  <si>
    <t>Kırklareli</t>
  </si>
  <si>
    <t>Kocaeli</t>
  </si>
  <si>
    <t>Manisa</t>
  </si>
  <si>
    <t>Mersin</t>
  </si>
  <si>
    <t>Muğla</t>
  </si>
  <si>
    <t>Karadeniz</t>
  </si>
  <si>
    <t>Rize</t>
  </si>
  <si>
    <t>Samsun</t>
  </si>
  <si>
    <t>Sinop</t>
  </si>
  <si>
    <t>Toplam</t>
  </si>
  <si>
    <t>Ortalama</t>
  </si>
  <si>
    <t>Değişen Toplam</t>
  </si>
  <si>
    <t>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</si>
</sst>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ill>
        <patternFill>
          <bgColor theme="4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4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C889-A19B-489F-8A4D-BC1E85922D7B}">
  <dimension ref="A1:I22"/>
  <sheetViews>
    <sheetView tabSelected="1" workbookViewId="0">
      <selection activeCell="I15" sqref="I15"/>
    </sheetView>
  </sheetViews>
  <sheetFormatPr defaultRowHeight="14.4" x14ac:dyDescent="0.3"/>
  <cols>
    <col min="3" max="3" width="1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s="2" t="s">
        <v>5</v>
      </c>
      <c r="B2" s="2" t="s">
        <v>6</v>
      </c>
      <c r="C2" s="3">
        <v>220347</v>
      </c>
      <c r="D2" s="3">
        <v>122322</v>
      </c>
      <c r="E2" s="3">
        <f>C2-D2</f>
        <v>98025</v>
      </c>
    </row>
    <row r="3" spans="1:9" x14ac:dyDescent="0.3">
      <c r="A3" s="2" t="s">
        <v>7</v>
      </c>
      <c r="B3" s="2" t="s">
        <v>8</v>
      </c>
      <c r="C3" s="3">
        <v>880547</v>
      </c>
      <c r="D3" s="3">
        <v>788328</v>
      </c>
      <c r="E3" s="3">
        <f>C3-D3</f>
        <v>92219</v>
      </c>
      <c r="G3" t="b">
        <f>B2="Edirne"</f>
        <v>0</v>
      </c>
      <c r="H3" t="b">
        <f>E2&lt;0</f>
        <v>0</v>
      </c>
      <c r="I3" t="b">
        <f>AND(A2="Ege",E2&lt;300000)</f>
        <v>0</v>
      </c>
    </row>
    <row r="4" spans="1:9" x14ac:dyDescent="0.3">
      <c r="A4" s="2" t="s">
        <v>5</v>
      </c>
      <c r="B4" s="2" t="s">
        <v>9</v>
      </c>
      <c r="C4" s="3">
        <v>301226</v>
      </c>
      <c r="D4" s="3">
        <v>223797</v>
      </c>
      <c r="E4" s="3">
        <f>C4-D4</f>
        <v>77429</v>
      </c>
      <c r="G4" t="b">
        <f t="shared" ref="G4:G22" si="0">B3="Edirne"</f>
        <v>0</v>
      </c>
      <c r="H4" t="b">
        <f t="shared" ref="H4:H22" si="1">E3&lt;0</f>
        <v>0</v>
      </c>
      <c r="I4" t="b">
        <f>AND(A3="Akdeniz",E3&lt;3000000)</f>
        <v>0</v>
      </c>
    </row>
    <row r="5" spans="1:9" x14ac:dyDescent="0.3">
      <c r="A5" s="2" t="s">
        <v>7</v>
      </c>
      <c r="B5" s="2" t="s">
        <v>10</v>
      </c>
      <c r="C5" s="3">
        <v>725922</v>
      </c>
      <c r="D5" s="3">
        <v>717034</v>
      </c>
      <c r="E5" s="3">
        <f t="shared" ref="E5:E22" si="2">C5-D5</f>
        <v>8888</v>
      </c>
      <c r="G5" t="b">
        <f t="shared" si="0"/>
        <v>0</v>
      </c>
      <c r="H5" t="b">
        <f t="shared" si="1"/>
        <v>0</v>
      </c>
      <c r="I5" t="b">
        <f>AND(A4="Akdeniz",E4&lt;3000000)</f>
        <v>1</v>
      </c>
    </row>
    <row r="6" spans="1:9" x14ac:dyDescent="0.3">
      <c r="A6" s="2" t="s">
        <v>7</v>
      </c>
      <c r="B6" s="2" t="s">
        <v>11</v>
      </c>
      <c r="C6" s="3">
        <v>816243</v>
      </c>
      <c r="D6" s="3">
        <v>795906</v>
      </c>
      <c r="E6" s="3">
        <f t="shared" si="2"/>
        <v>20337</v>
      </c>
      <c r="G6" t="b">
        <f t="shared" si="0"/>
        <v>0</v>
      </c>
      <c r="H6" t="b">
        <f t="shared" si="1"/>
        <v>0</v>
      </c>
      <c r="I6" t="b">
        <f t="shared" ref="I6:I22" si="3">AND(A5="Ege",E5&lt;300000)</f>
        <v>1</v>
      </c>
    </row>
    <row r="7" spans="1:9" x14ac:dyDescent="0.3">
      <c r="A7" s="2" t="s">
        <v>5</v>
      </c>
      <c r="B7" s="2" t="s">
        <v>12</v>
      </c>
      <c r="C7" s="3">
        <v>234230</v>
      </c>
      <c r="D7" s="3">
        <v>226096</v>
      </c>
      <c r="E7" s="3">
        <f t="shared" si="2"/>
        <v>8134</v>
      </c>
      <c r="G7" t="b">
        <f t="shared" si="0"/>
        <v>0</v>
      </c>
      <c r="H7" t="b">
        <f t="shared" si="1"/>
        <v>0</v>
      </c>
      <c r="I7" t="b">
        <f t="shared" ref="I7:I22" si="4">AND(A6="Akdeniz",E6&lt;3000000)</f>
        <v>0</v>
      </c>
    </row>
    <row r="8" spans="1:9" x14ac:dyDescent="0.3">
      <c r="A8" s="2" t="s">
        <v>13</v>
      </c>
      <c r="B8" s="2" t="s">
        <v>14</v>
      </c>
      <c r="C8" s="3">
        <v>254125</v>
      </c>
      <c r="D8" s="3">
        <v>199541</v>
      </c>
      <c r="E8" s="3">
        <f t="shared" si="2"/>
        <v>54584</v>
      </c>
      <c r="G8" t="b">
        <f t="shared" si="0"/>
        <v>0</v>
      </c>
      <c r="H8" t="b">
        <f t="shared" si="1"/>
        <v>0</v>
      </c>
      <c r="I8" t="b">
        <f t="shared" si="4"/>
        <v>1</v>
      </c>
    </row>
    <row r="9" spans="1:9" x14ac:dyDescent="0.3">
      <c r="A9" s="2" t="s">
        <v>13</v>
      </c>
      <c r="B9" s="2" t="s">
        <v>15</v>
      </c>
      <c r="C9" s="3">
        <v>187456</v>
      </c>
      <c r="D9" s="3">
        <v>201254</v>
      </c>
      <c r="E9" s="3">
        <f t="shared" si="2"/>
        <v>-13798</v>
      </c>
      <c r="G9" t="b">
        <f t="shared" si="0"/>
        <v>0</v>
      </c>
      <c r="H9" t="b">
        <f t="shared" si="1"/>
        <v>0</v>
      </c>
      <c r="I9" t="b">
        <f t="shared" ref="I9:I22" si="5">AND(A8="Ege",E8&lt;300000)</f>
        <v>0</v>
      </c>
    </row>
    <row r="10" spans="1:9" x14ac:dyDescent="0.3">
      <c r="A10" s="2" t="s">
        <v>7</v>
      </c>
      <c r="B10" s="2" t="s">
        <v>16</v>
      </c>
      <c r="C10" s="3">
        <v>193975</v>
      </c>
      <c r="D10" s="3">
        <v>188475</v>
      </c>
      <c r="E10" s="3">
        <f t="shared" si="2"/>
        <v>5500</v>
      </c>
      <c r="G10" t="b">
        <f t="shared" si="0"/>
        <v>0</v>
      </c>
      <c r="H10" t="b">
        <f t="shared" si="1"/>
        <v>1</v>
      </c>
      <c r="I10" t="b">
        <f t="shared" ref="I10:I22" si="6">AND(A9="Akdeniz",E9&lt;3000000)</f>
        <v>0</v>
      </c>
    </row>
    <row r="11" spans="1:9" x14ac:dyDescent="0.3">
      <c r="A11" s="2" t="s">
        <v>13</v>
      </c>
      <c r="B11" s="2" t="s">
        <v>17</v>
      </c>
      <c r="C11" s="3">
        <v>679605</v>
      </c>
      <c r="D11" s="3">
        <v>399039</v>
      </c>
      <c r="E11" s="3">
        <f t="shared" si="2"/>
        <v>280566</v>
      </c>
      <c r="G11" t="b">
        <f t="shared" si="0"/>
        <v>0</v>
      </c>
      <c r="H11" t="b">
        <f t="shared" si="1"/>
        <v>0</v>
      </c>
      <c r="I11" t="b">
        <f t="shared" si="6"/>
        <v>0</v>
      </c>
    </row>
    <row r="12" spans="1:9" x14ac:dyDescent="0.3">
      <c r="A12" s="2" t="s">
        <v>5</v>
      </c>
      <c r="B12" s="2" t="s">
        <v>18</v>
      </c>
      <c r="C12" s="3">
        <v>303922</v>
      </c>
      <c r="D12" s="3">
        <v>317034</v>
      </c>
      <c r="E12" s="3">
        <f t="shared" si="2"/>
        <v>-13112</v>
      </c>
      <c r="G12" t="b">
        <f t="shared" si="0"/>
        <v>1</v>
      </c>
      <c r="H12" t="b">
        <f t="shared" si="1"/>
        <v>0</v>
      </c>
      <c r="I12" t="b">
        <f t="shared" ref="I12:I22" si="7">AND(A11="Ege",E11&lt;300000)</f>
        <v>0</v>
      </c>
    </row>
    <row r="13" spans="1:9" x14ac:dyDescent="0.3">
      <c r="A13" s="2" t="s">
        <v>13</v>
      </c>
      <c r="B13" s="2" t="s">
        <v>19</v>
      </c>
      <c r="C13" s="3">
        <v>656955</v>
      </c>
      <c r="D13" s="3">
        <v>327034</v>
      </c>
      <c r="E13" s="3">
        <f t="shared" si="2"/>
        <v>329921</v>
      </c>
      <c r="G13" t="b">
        <f t="shared" si="0"/>
        <v>0</v>
      </c>
      <c r="H13" t="b">
        <f t="shared" si="1"/>
        <v>1</v>
      </c>
      <c r="I13" t="b">
        <f t="shared" ref="I13:I22" si="8">AND(A12="Akdeniz",E12&lt;3000000)</f>
        <v>1</v>
      </c>
    </row>
    <row r="14" spans="1:9" x14ac:dyDescent="0.3">
      <c r="A14" s="2" t="s">
        <v>7</v>
      </c>
      <c r="B14" s="2" t="s">
        <v>20</v>
      </c>
      <c r="C14" s="3">
        <v>216769</v>
      </c>
      <c r="D14" s="3">
        <v>202377</v>
      </c>
      <c r="E14" s="3">
        <f t="shared" si="2"/>
        <v>14392</v>
      </c>
      <c r="G14" t="b">
        <f t="shared" si="0"/>
        <v>0</v>
      </c>
      <c r="H14" t="b">
        <f t="shared" si="1"/>
        <v>0</v>
      </c>
      <c r="I14" t="b">
        <f t="shared" si="8"/>
        <v>0</v>
      </c>
    </row>
    <row r="15" spans="1:9" x14ac:dyDescent="0.3">
      <c r="A15" s="2" t="s">
        <v>13</v>
      </c>
      <c r="B15" s="2" t="s">
        <v>21</v>
      </c>
      <c r="C15" s="3">
        <v>201254</v>
      </c>
      <c r="D15" s="3">
        <v>99452</v>
      </c>
      <c r="E15" s="3">
        <f t="shared" si="2"/>
        <v>101802</v>
      </c>
      <c r="G15" t="b">
        <f t="shared" si="0"/>
        <v>0</v>
      </c>
      <c r="H15" t="b">
        <f t="shared" si="1"/>
        <v>0</v>
      </c>
      <c r="I15" t="e">
        <f>AND(I21A14="Ege",E14&lt;300000)</f>
        <v>#NAME?</v>
      </c>
    </row>
    <row r="16" spans="1:9" x14ac:dyDescent="0.3">
      <c r="A16" s="2" t="s">
        <v>13</v>
      </c>
      <c r="B16" s="2" t="s">
        <v>22</v>
      </c>
      <c r="C16" s="3">
        <v>541254</v>
      </c>
      <c r="D16" s="3">
        <v>320012</v>
      </c>
      <c r="E16" s="3">
        <f t="shared" si="2"/>
        <v>221242</v>
      </c>
      <c r="G16" t="b">
        <f t="shared" si="0"/>
        <v>0</v>
      </c>
      <c r="H16" t="b">
        <f t="shared" si="1"/>
        <v>0</v>
      </c>
      <c r="I16" t="b">
        <f t="shared" ref="I16:I22" si="9">AND(A15="Akdeniz",E15&lt;3000000)</f>
        <v>0</v>
      </c>
    </row>
    <row r="17" spans="1:9" x14ac:dyDescent="0.3">
      <c r="A17" s="2" t="s">
        <v>7</v>
      </c>
      <c r="B17" s="2" t="s">
        <v>23</v>
      </c>
      <c r="C17" s="3">
        <v>379302</v>
      </c>
      <c r="D17" s="3">
        <v>299032</v>
      </c>
      <c r="E17" s="3">
        <f t="shared" si="2"/>
        <v>80270</v>
      </c>
      <c r="G17" t="b">
        <f t="shared" si="0"/>
        <v>0</v>
      </c>
      <c r="H17" t="b">
        <f t="shared" si="1"/>
        <v>0</v>
      </c>
      <c r="I17" t="b">
        <f t="shared" si="9"/>
        <v>0</v>
      </c>
    </row>
    <row r="18" spans="1:9" x14ac:dyDescent="0.3">
      <c r="A18" s="2" t="s">
        <v>5</v>
      </c>
      <c r="B18" s="2" t="s">
        <v>24</v>
      </c>
      <c r="C18" s="3">
        <v>216743</v>
      </c>
      <c r="D18" s="3">
        <v>193906</v>
      </c>
      <c r="E18" s="3">
        <f t="shared" si="2"/>
        <v>22837</v>
      </c>
      <c r="G18" t="b">
        <f t="shared" si="0"/>
        <v>0</v>
      </c>
      <c r="H18" t="b">
        <f t="shared" si="1"/>
        <v>0</v>
      </c>
      <c r="I18" t="b">
        <f>AND(A17="Ege",E17&lt;300000)</f>
        <v>1</v>
      </c>
    </row>
    <row r="19" spans="1:9" x14ac:dyDescent="0.3">
      <c r="A19" s="2" t="s">
        <v>7</v>
      </c>
      <c r="B19" s="2" t="s">
        <v>25</v>
      </c>
      <c r="C19" s="3">
        <v>501226</v>
      </c>
      <c r="D19" s="3">
        <v>425797</v>
      </c>
      <c r="E19" s="3">
        <f t="shared" si="2"/>
        <v>75429</v>
      </c>
      <c r="G19" t="b">
        <f t="shared" si="0"/>
        <v>0</v>
      </c>
      <c r="H19" t="b">
        <f t="shared" si="1"/>
        <v>0</v>
      </c>
      <c r="I19" t="b">
        <f t="shared" ref="I19:I22" si="10">AND(A18="Akdeniz",E18&lt;3000000)</f>
        <v>1</v>
      </c>
    </row>
    <row r="20" spans="1:9" x14ac:dyDescent="0.3">
      <c r="A20" s="2" t="s">
        <v>26</v>
      </c>
      <c r="B20" s="2" t="s">
        <v>27</v>
      </c>
      <c r="C20" s="3">
        <v>816769</v>
      </c>
      <c r="D20" s="3">
        <v>782577</v>
      </c>
      <c r="E20" s="3">
        <f t="shared" si="2"/>
        <v>34192</v>
      </c>
      <c r="G20" t="b">
        <f t="shared" si="0"/>
        <v>0</v>
      </c>
      <c r="H20" t="b">
        <f t="shared" si="1"/>
        <v>0</v>
      </c>
      <c r="I20" t="b">
        <f t="shared" si="10"/>
        <v>0</v>
      </c>
    </row>
    <row r="21" spans="1:9" x14ac:dyDescent="0.3">
      <c r="A21" s="2" t="s">
        <v>26</v>
      </c>
      <c r="B21" s="2" t="s">
        <v>28</v>
      </c>
      <c r="C21" s="3">
        <v>770308</v>
      </c>
      <c r="D21" s="3">
        <v>699058</v>
      </c>
      <c r="E21" s="3">
        <f t="shared" si="2"/>
        <v>71250</v>
      </c>
      <c r="G21" t="b">
        <f t="shared" si="0"/>
        <v>0</v>
      </c>
      <c r="H21" t="b">
        <f t="shared" si="1"/>
        <v>0</v>
      </c>
      <c r="I21" t="b">
        <f t="shared" ref="I21:I22" si="11">AND(A20="Ege",E20&lt;300000)</f>
        <v>0</v>
      </c>
    </row>
    <row r="22" spans="1:9" x14ac:dyDescent="0.3">
      <c r="A22" s="2" t="s">
        <v>26</v>
      </c>
      <c r="B22" s="2" t="s">
        <v>29</v>
      </c>
      <c r="C22" s="3">
        <v>550647</v>
      </c>
      <c r="D22" s="3">
        <v>739393</v>
      </c>
      <c r="E22" s="3">
        <f t="shared" si="2"/>
        <v>-188746</v>
      </c>
      <c r="G22" t="b">
        <f t="shared" si="0"/>
        <v>0</v>
      </c>
      <c r="H22" t="b">
        <f t="shared" si="1"/>
        <v>0</v>
      </c>
      <c r="I22" t="b">
        <f t="shared" ref="I22" si="12">AND(A21="Akdeniz",E21&lt;3000000)</f>
        <v>0</v>
      </c>
    </row>
  </sheetData>
  <conditionalFormatting sqref="B1:B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{A04AB881-AB34-4152-A2C6-3E92C4416401}</x14:id>
        </ext>
      </extLst>
    </cfRule>
    <cfRule type="expression" dxfId="10" priority="8">
      <formula>$B$1="Edirne"</formula>
    </cfRule>
    <cfRule type="expression" dxfId="11" priority="7">
      <formula>$B1="Edirne"</formula>
    </cfRule>
    <cfRule type="expression" dxfId="12" priority="6">
      <formula>$B1="Bursa"</formula>
    </cfRule>
    <cfRule type="expression" dxfId="9" priority="5">
      <formula>$B1="Edirne"</formula>
    </cfRule>
  </conditionalFormatting>
  <conditionalFormatting sqref="B2:B2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{0EC5E8E5-D231-4938-94B9-9FCF9C1DE9CD}</x14:id>
        </ext>
      </extLst>
    </cfRule>
  </conditionalFormatting>
  <conditionalFormatting sqref="K11">
    <cfRule type="expression" dxfId="16" priority="9">
      <formula>B1="Edirne"</formula>
    </cfRule>
  </conditionalFormatting>
  <conditionalFormatting sqref="A1:E22">
    <cfRule type="expression" dxfId="5" priority="4">
      <formula>$B1="Edirne"</formula>
    </cfRule>
    <cfRule type="expression" dxfId="4" priority="3">
      <formula>$B1="Bursa"</formula>
    </cfRule>
  </conditionalFormatting>
  <conditionalFormatting sqref="A2:E22">
    <cfRule type="expression" dxfId="2" priority="2">
      <formula>E$2&lt;0</formula>
    </cfRule>
    <cfRule type="expression" dxfId="1" priority="1">
      <formula>$E2&lt;0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AB881-AB34-4152-A2C6-3E92C441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B1:B22</xm:sqref>
        </x14:conditionalFormatting>
        <x14:conditionalFormatting xmlns:xm="http://schemas.microsoft.com/office/excel/2006/main">
          <x14:cfRule type="dataBar" id="{0EC5E8E5-D231-4938-94B9-9FCF9C1D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2026-01-07T11:15:19Z</dcterms:created>
  <dcterms:modified xsi:type="dcterms:W3CDTF">2026-01-07T13:41:34Z</dcterms:modified>
</cp:coreProperties>
</file>