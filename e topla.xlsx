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D387F196-8892-47C6-BF13-1C6C8C0E7B59}" xr6:coauthVersionLast="47" xr6:coauthVersionMax="47" xr10:uidLastSave="{00000000-0000-0000-0000-000000000000}"/>
  <bookViews>
    <workbookView xWindow="-108" yWindow="-108" windowWidth="23256" windowHeight="12456" xr2:uid="{1F5F63EF-9847-4425-BF3A-EA7B28389B0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J9" i="1"/>
  <c r="J6" i="1"/>
  <c r="J4" i="1"/>
  <c r="I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F3" i="1"/>
  <c r="F2" i="1"/>
</calcChain>
</file>

<file path=xl/sharedStrings.xml><?xml version="1.0" encoding="utf-8"?>
<sst xmlns="http://schemas.openxmlformats.org/spreadsheetml/2006/main" count="98" uniqueCount="22">
  <si>
    <t>Ürün Adı</t>
  </si>
  <si>
    <t>Marka</t>
  </si>
  <si>
    <t>Bölge</t>
  </si>
  <si>
    <t>Adet</t>
  </si>
  <si>
    <t>Fiyat</t>
  </si>
  <si>
    <t>Toplam</t>
  </si>
  <si>
    <t>CD-ROM</t>
  </si>
  <si>
    <t>MONITOR</t>
  </si>
  <si>
    <t>MOUSE</t>
  </si>
  <si>
    <t>PRİNTER</t>
  </si>
  <si>
    <t>COMPUTER</t>
  </si>
  <si>
    <t>CREATİVE</t>
  </si>
  <si>
    <t>IBM</t>
  </si>
  <si>
    <t>MICROSOFT</t>
  </si>
  <si>
    <t>CANON</t>
  </si>
  <si>
    <t>PACKARD BELL</t>
  </si>
  <si>
    <t>HP</t>
  </si>
  <si>
    <t>ADANA</t>
  </si>
  <si>
    <t>ANKARA</t>
  </si>
  <si>
    <t>Adana'nın Toplamı</t>
  </si>
  <si>
    <t>Markası HP olanların toplamı</t>
  </si>
  <si>
    <t>Ürün adı computer toplam satış adedi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</si>
</sst>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₺-41F]* #,##0.00_-;\-[$₺-41F]* #,##0.00_-;_-[$₺-41F]* &quot;-&quot;??_-;_-@_-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1" fillId="2" borderId="0" xfId="0" applyNumberFormat="1" applyFont="1" applyFill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A6C8-45F8-4357-A796-6A009A30DA75}">
  <dimension ref="A1:J30"/>
  <sheetViews>
    <sheetView tabSelected="1" workbookViewId="0">
      <selection activeCell="J12" sqref="J12"/>
    </sheetView>
  </sheetViews>
  <sheetFormatPr defaultRowHeight="14.4" x14ac:dyDescent="0.3"/>
  <cols>
    <col min="1" max="1" width="10.5546875" bestFit="1" customWidth="1"/>
    <col min="2" max="2" width="13.109375" bestFit="1" customWidth="1"/>
    <col min="6" max="6" width="14" bestFit="1" customWidth="1"/>
    <col min="9" max="9" width="32" bestFit="1" customWidth="1"/>
    <col min="10" max="10" width="14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10" x14ac:dyDescent="0.3">
      <c r="A2" s="2" t="s">
        <v>6</v>
      </c>
      <c r="B2" s="2" t="s">
        <v>11</v>
      </c>
      <c r="C2" s="2" t="s">
        <v>17</v>
      </c>
      <c r="D2" s="2">
        <v>10</v>
      </c>
      <c r="E2" s="2">
        <v>350</v>
      </c>
      <c r="F2" s="4">
        <f>SUM(E2*D2)</f>
        <v>3500</v>
      </c>
      <c r="H2" t="s">
        <v>5</v>
      </c>
      <c r="I2" s="4">
        <f>SUM(F1:F30)</f>
        <v>9574725</v>
      </c>
    </row>
    <row r="3" spans="1:10" x14ac:dyDescent="0.3">
      <c r="A3" s="2" t="s">
        <v>7</v>
      </c>
      <c r="B3" s="2" t="s">
        <v>12</v>
      </c>
      <c r="C3" s="2" t="s">
        <v>17</v>
      </c>
      <c r="D3" s="2">
        <v>15</v>
      </c>
      <c r="E3" s="2">
        <v>100000</v>
      </c>
      <c r="F3" s="4">
        <f>SUM(E3*D3)</f>
        <v>1500000</v>
      </c>
    </row>
    <row r="4" spans="1:10" x14ac:dyDescent="0.3">
      <c r="A4" s="2" t="s">
        <v>7</v>
      </c>
      <c r="B4" s="2" t="s">
        <v>12</v>
      </c>
      <c r="C4" s="2" t="s">
        <v>17</v>
      </c>
      <c r="D4" s="2">
        <v>15</v>
      </c>
      <c r="E4" s="2">
        <v>100000</v>
      </c>
      <c r="F4" s="4">
        <f>SUM(E4*D4)</f>
        <v>1500000</v>
      </c>
      <c r="I4" t="s">
        <v>19</v>
      </c>
      <c r="J4" s="4">
        <f>SUMIF(C:C,"adana",F:F)</f>
        <v>7543500</v>
      </c>
    </row>
    <row r="5" spans="1:10" x14ac:dyDescent="0.3">
      <c r="A5" s="2" t="s">
        <v>7</v>
      </c>
      <c r="B5" s="2" t="s">
        <v>12</v>
      </c>
      <c r="C5" s="2" t="s">
        <v>17</v>
      </c>
      <c r="D5" s="2">
        <v>15</v>
      </c>
      <c r="E5" s="2">
        <v>100000</v>
      </c>
      <c r="F5" s="4">
        <f t="shared" ref="F5:F30" si="0">SUM(E5*D5)</f>
        <v>1500000</v>
      </c>
    </row>
    <row r="6" spans="1:10" x14ac:dyDescent="0.3">
      <c r="A6" s="2" t="s">
        <v>7</v>
      </c>
      <c r="B6" s="2" t="s">
        <v>12</v>
      </c>
      <c r="C6" s="2" t="s">
        <v>17</v>
      </c>
      <c r="D6" s="2">
        <v>15</v>
      </c>
      <c r="E6" s="2">
        <v>100000</v>
      </c>
      <c r="F6" s="4">
        <f t="shared" si="0"/>
        <v>1500000</v>
      </c>
      <c r="I6" t="s">
        <v>20</v>
      </c>
      <c r="J6" s="4">
        <f>SUMIF(B:B,"HP",F:F)</f>
        <v>2027375</v>
      </c>
    </row>
    <row r="7" spans="1:10" x14ac:dyDescent="0.3">
      <c r="A7" s="2" t="s">
        <v>7</v>
      </c>
      <c r="B7" s="2" t="s">
        <v>13</v>
      </c>
      <c r="C7" s="2" t="s">
        <v>17</v>
      </c>
      <c r="D7" s="2">
        <v>15</v>
      </c>
      <c r="E7" s="2">
        <v>100000</v>
      </c>
      <c r="F7" s="4">
        <f t="shared" si="0"/>
        <v>1500000</v>
      </c>
    </row>
    <row r="8" spans="1:10" x14ac:dyDescent="0.3">
      <c r="A8" s="2" t="s">
        <v>8</v>
      </c>
      <c r="B8" s="2" t="s">
        <v>13</v>
      </c>
      <c r="C8" s="2" t="s">
        <v>17</v>
      </c>
      <c r="D8" s="2">
        <v>100</v>
      </c>
      <c r="E8" s="2">
        <v>100</v>
      </c>
      <c r="F8" s="4">
        <f t="shared" si="0"/>
        <v>10000</v>
      </c>
    </row>
    <row r="9" spans="1:10" x14ac:dyDescent="0.3">
      <c r="A9" s="2" t="s">
        <v>8</v>
      </c>
      <c r="B9" s="2" t="s">
        <v>13</v>
      </c>
      <c r="C9" s="2" t="s">
        <v>17</v>
      </c>
      <c r="D9" s="2">
        <v>100</v>
      </c>
      <c r="E9" s="2">
        <v>100</v>
      </c>
      <c r="F9" s="4">
        <f t="shared" si="0"/>
        <v>10000</v>
      </c>
      <c r="I9" t="s">
        <v>21</v>
      </c>
      <c r="J9" s="5">
        <f>SUMIF(A:A,"COMPUTER",D:D)</f>
        <v>40</v>
      </c>
    </row>
    <row r="10" spans="1:10" x14ac:dyDescent="0.3">
      <c r="A10" s="2" t="s">
        <v>8</v>
      </c>
      <c r="B10" s="2" t="s">
        <v>13</v>
      </c>
      <c r="C10" s="2" t="s">
        <v>17</v>
      </c>
      <c r="D10" s="2">
        <v>100</v>
      </c>
      <c r="E10" s="2">
        <v>100</v>
      </c>
      <c r="F10" s="4">
        <f t="shared" si="0"/>
        <v>10000</v>
      </c>
    </row>
    <row r="11" spans="1:10" x14ac:dyDescent="0.3">
      <c r="A11" s="2" t="s">
        <v>8</v>
      </c>
      <c r="B11" s="2" t="s">
        <v>14</v>
      </c>
      <c r="C11" s="2" t="s">
        <v>17</v>
      </c>
      <c r="D11" s="2">
        <v>100</v>
      </c>
      <c r="E11" s="2">
        <v>100</v>
      </c>
      <c r="F11" s="4">
        <f t="shared" si="0"/>
        <v>10000</v>
      </c>
      <c r="I11" t="s">
        <v>10</v>
      </c>
      <c r="J11">
        <f>SUMIF(A:A,I11,D:D)</f>
        <v>40</v>
      </c>
    </row>
    <row r="12" spans="1:10" x14ac:dyDescent="0.3">
      <c r="A12" s="2" t="s">
        <v>9</v>
      </c>
      <c r="B12" s="2" t="s">
        <v>14</v>
      </c>
      <c r="C12" s="2" t="s">
        <v>18</v>
      </c>
      <c r="D12" s="2">
        <v>100</v>
      </c>
      <c r="E12" s="2">
        <v>20</v>
      </c>
      <c r="F12" s="4">
        <f t="shared" si="0"/>
        <v>2000</v>
      </c>
    </row>
    <row r="13" spans="1:10" x14ac:dyDescent="0.3">
      <c r="A13" s="2" t="s">
        <v>9</v>
      </c>
      <c r="B13" s="2" t="s">
        <v>14</v>
      </c>
      <c r="C13" s="2" t="s">
        <v>18</v>
      </c>
      <c r="D13" s="2">
        <v>20</v>
      </c>
      <c r="E13" s="2">
        <v>20</v>
      </c>
      <c r="F13" s="4">
        <f t="shared" si="0"/>
        <v>400</v>
      </c>
    </row>
    <row r="14" spans="1:10" x14ac:dyDescent="0.3">
      <c r="A14" s="2" t="s">
        <v>9</v>
      </c>
      <c r="B14" s="2" t="s">
        <v>14</v>
      </c>
      <c r="C14" s="2" t="s">
        <v>18</v>
      </c>
      <c r="D14" s="2">
        <v>20</v>
      </c>
      <c r="E14" s="2">
        <v>20</v>
      </c>
      <c r="F14" s="4">
        <f t="shared" si="0"/>
        <v>400</v>
      </c>
    </row>
    <row r="15" spans="1:10" x14ac:dyDescent="0.3">
      <c r="A15" s="2" t="s">
        <v>9</v>
      </c>
      <c r="B15" s="2" t="s">
        <v>14</v>
      </c>
      <c r="C15" s="2" t="s">
        <v>18</v>
      </c>
      <c r="D15" s="2">
        <v>20</v>
      </c>
      <c r="E15" s="2">
        <v>20</v>
      </c>
      <c r="F15" s="4">
        <f t="shared" si="0"/>
        <v>400</v>
      </c>
    </row>
    <row r="16" spans="1:10" x14ac:dyDescent="0.3">
      <c r="A16" s="2" t="s">
        <v>9</v>
      </c>
      <c r="B16" s="2" t="s">
        <v>15</v>
      </c>
      <c r="C16" s="2" t="s">
        <v>18</v>
      </c>
      <c r="D16" s="2">
        <v>20</v>
      </c>
      <c r="E16" s="2">
        <v>10</v>
      </c>
      <c r="F16" s="4">
        <f t="shared" si="0"/>
        <v>200</v>
      </c>
    </row>
    <row r="17" spans="1:6" x14ac:dyDescent="0.3">
      <c r="A17" s="2" t="s">
        <v>7</v>
      </c>
      <c r="B17" s="2" t="s">
        <v>15</v>
      </c>
      <c r="C17" s="2" t="s">
        <v>18</v>
      </c>
      <c r="D17" s="2">
        <v>10</v>
      </c>
      <c r="E17" s="2">
        <v>10</v>
      </c>
      <c r="F17" s="4">
        <f t="shared" si="0"/>
        <v>100</v>
      </c>
    </row>
    <row r="18" spans="1:6" x14ac:dyDescent="0.3">
      <c r="A18" s="2" t="s">
        <v>7</v>
      </c>
      <c r="B18" s="2" t="s">
        <v>15</v>
      </c>
      <c r="C18" s="2" t="s">
        <v>18</v>
      </c>
      <c r="D18" s="2">
        <v>10</v>
      </c>
      <c r="E18" s="2">
        <v>10</v>
      </c>
      <c r="F18" s="4">
        <f t="shared" si="0"/>
        <v>100</v>
      </c>
    </row>
    <row r="19" spans="1:6" x14ac:dyDescent="0.3">
      <c r="A19" s="2" t="s">
        <v>7</v>
      </c>
      <c r="B19" s="2" t="s">
        <v>15</v>
      </c>
      <c r="C19" s="2" t="s">
        <v>18</v>
      </c>
      <c r="D19" s="2">
        <v>10</v>
      </c>
      <c r="E19" s="2">
        <v>10</v>
      </c>
      <c r="F19" s="4">
        <f t="shared" si="0"/>
        <v>100</v>
      </c>
    </row>
    <row r="20" spans="1:6" x14ac:dyDescent="0.3">
      <c r="A20" s="2" t="s">
        <v>7</v>
      </c>
      <c r="B20" s="2" t="s">
        <v>15</v>
      </c>
      <c r="C20" s="2" t="s">
        <v>18</v>
      </c>
      <c r="D20" s="2">
        <v>10</v>
      </c>
      <c r="E20" s="2">
        <v>15</v>
      </c>
      <c r="F20" s="4">
        <f t="shared" si="0"/>
        <v>150</v>
      </c>
    </row>
    <row r="21" spans="1:6" x14ac:dyDescent="0.3">
      <c r="A21" s="2" t="s">
        <v>7</v>
      </c>
      <c r="B21" s="2" t="s">
        <v>16</v>
      </c>
      <c r="C21" s="2" t="s">
        <v>18</v>
      </c>
      <c r="D21" s="2">
        <v>10</v>
      </c>
      <c r="E21" s="2">
        <v>15</v>
      </c>
      <c r="F21" s="4">
        <f t="shared" si="0"/>
        <v>150</v>
      </c>
    </row>
    <row r="22" spans="1:6" x14ac:dyDescent="0.3">
      <c r="A22" s="2" t="s">
        <v>7</v>
      </c>
      <c r="B22" s="2" t="s">
        <v>16</v>
      </c>
      <c r="C22" s="2" t="s">
        <v>18</v>
      </c>
      <c r="D22" s="2">
        <v>10</v>
      </c>
      <c r="E22" s="2">
        <v>15</v>
      </c>
      <c r="F22" s="4">
        <f t="shared" si="0"/>
        <v>150</v>
      </c>
    </row>
    <row r="23" spans="1:6" x14ac:dyDescent="0.3">
      <c r="A23" s="2" t="s">
        <v>9</v>
      </c>
      <c r="B23" s="2" t="s">
        <v>16</v>
      </c>
      <c r="C23" s="2" t="s">
        <v>18</v>
      </c>
      <c r="D23" s="2">
        <v>15</v>
      </c>
      <c r="E23" s="2">
        <v>15</v>
      </c>
      <c r="F23" s="4">
        <f t="shared" si="0"/>
        <v>225</v>
      </c>
    </row>
    <row r="24" spans="1:6" x14ac:dyDescent="0.3">
      <c r="A24" s="2" t="s">
        <v>9</v>
      </c>
      <c r="B24" s="2" t="s">
        <v>16</v>
      </c>
      <c r="C24" s="2" t="s">
        <v>18</v>
      </c>
      <c r="D24" s="2">
        <v>15</v>
      </c>
      <c r="E24" s="2">
        <v>10</v>
      </c>
      <c r="F24" s="4">
        <f t="shared" si="0"/>
        <v>150</v>
      </c>
    </row>
    <row r="25" spans="1:6" x14ac:dyDescent="0.3">
      <c r="A25" s="2" t="s">
        <v>9</v>
      </c>
      <c r="B25" s="2" t="s">
        <v>16</v>
      </c>
      <c r="C25" s="2" t="s">
        <v>18</v>
      </c>
      <c r="D25" s="2">
        <v>15</v>
      </c>
      <c r="E25" s="2">
        <v>15</v>
      </c>
      <c r="F25" s="4">
        <f t="shared" si="0"/>
        <v>225</v>
      </c>
    </row>
    <row r="26" spans="1:6" x14ac:dyDescent="0.3">
      <c r="A26" s="2" t="s">
        <v>9</v>
      </c>
      <c r="B26" s="2" t="s">
        <v>16</v>
      </c>
      <c r="C26" s="2" t="s">
        <v>18</v>
      </c>
      <c r="D26" s="2">
        <v>15</v>
      </c>
      <c r="E26" s="2">
        <v>15</v>
      </c>
      <c r="F26" s="4">
        <f t="shared" si="0"/>
        <v>225</v>
      </c>
    </row>
    <row r="27" spans="1:6" x14ac:dyDescent="0.3">
      <c r="A27" s="2" t="s">
        <v>9</v>
      </c>
      <c r="B27" s="2" t="s">
        <v>16</v>
      </c>
      <c r="C27" s="2" t="s">
        <v>18</v>
      </c>
      <c r="D27" s="2">
        <v>15</v>
      </c>
      <c r="E27" s="2">
        <v>450</v>
      </c>
      <c r="F27" s="4">
        <f t="shared" si="0"/>
        <v>6750</v>
      </c>
    </row>
    <row r="28" spans="1:6" x14ac:dyDescent="0.3">
      <c r="A28" s="2" t="s">
        <v>10</v>
      </c>
      <c r="B28" s="2" t="s">
        <v>16</v>
      </c>
      <c r="C28" s="2" t="s">
        <v>18</v>
      </c>
      <c r="D28" s="2">
        <v>10</v>
      </c>
      <c r="E28" s="2">
        <v>200000</v>
      </c>
      <c r="F28" s="4">
        <f t="shared" si="0"/>
        <v>2000000</v>
      </c>
    </row>
    <row r="29" spans="1:6" x14ac:dyDescent="0.3">
      <c r="A29" s="2" t="s">
        <v>10</v>
      </c>
      <c r="B29" s="2" t="s">
        <v>16</v>
      </c>
      <c r="C29" s="2" t="s">
        <v>18</v>
      </c>
      <c r="D29" s="2">
        <v>15</v>
      </c>
      <c r="E29" s="2">
        <v>550</v>
      </c>
      <c r="F29" s="4">
        <f t="shared" si="0"/>
        <v>8250</v>
      </c>
    </row>
    <row r="30" spans="1:6" x14ac:dyDescent="0.3">
      <c r="A30" s="2" t="s">
        <v>10</v>
      </c>
      <c r="B30" s="2" t="s">
        <v>16</v>
      </c>
      <c r="C30" s="2" t="s">
        <v>18</v>
      </c>
      <c r="D30" s="2">
        <v>15</v>
      </c>
      <c r="E30" s="2">
        <v>750</v>
      </c>
      <c r="F30" s="4">
        <f t="shared" si="0"/>
        <v>11250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2026-01-07T16:55:12Z</dcterms:created>
  <dcterms:modified xsi:type="dcterms:W3CDTF">2026-01-07T19:50:07Z</dcterms:modified>
</cp:coreProperties>
</file>