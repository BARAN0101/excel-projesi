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48B5EE0B-67BB-46A5-89B1-F9F424648F74}" xr6:coauthVersionLast="47" xr6:coauthVersionMax="47" xr10:uidLastSave="{00000000-0000-0000-0000-000000000000}"/>
  <bookViews>
    <workbookView xWindow="-108" yWindow="-108" windowWidth="23256" windowHeight="12456" activeTab="1" xr2:uid="{77A9A1D1-3889-4761-8B02-C49B8D70D3DB}"/>
  </bookViews>
  <sheets>
    <sheet name="Sayfa1" sheetId="1" r:id="rId1"/>
    <sheet name="Sayf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" l="1"/>
  <c r="H8" i="2"/>
  <c r="H6" i="2"/>
</calcChain>
</file>

<file path=xl/sharedStrings.xml><?xml version="1.0" encoding="utf-8"?>
<sst xmlns="http://schemas.openxmlformats.org/spreadsheetml/2006/main" count="40" uniqueCount="31">
  <si>
    <t>Pasta Grafik</t>
  </si>
  <si>
    <t>Personel Sayısı</t>
  </si>
  <si>
    <t>İstanbul</t>
  </si>
  <si>
    <t>İzmir</t>
  </si>
  <si>
    <t>Bursa</t>
  </si>
  <si>
    <t>Çubuk/birleşik grafik</t>
  </si>
  <si>
    <t>Toplam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</si>
  <si>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</si>
  <si>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</si>
  <si>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</si>
  <si>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</si>
  <si>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</si>
  <si>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</si>
  <si>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</si>
  <si>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</si>
  <si>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</si>
  <si>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</si>
  <si>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</si>
  <si>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</si>
  <si>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Harita Grafik</t>
  </si>
  <si>
    <t>Satış</t>
  </si>
  <si>
    <t>Adana</t>
  </si>
  <si>
    <t>Adıyaman</t>
  </si>
  <si>
    <t>Afyon</t>
  </si>
  <si>
    <t>Ağrı</t>
  </si>
  <si>
    <t>Amasya</t>
  </si>
  <si>
    <t>Ankara</t>
  </si>
  <si>
    <t>Antalya</t>
  </si>
  <si>
    <t>Artvin</t>
  </si>
  <si>
    <t>Aydın</t>
  </si>
  <si>
    <t>Balıkesir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</si>
</sst>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Personel Sayısı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Sayfa1!$A$2:$A$4</c:f>
              <c:strCache>
                <c:ptCount val="3"/>
                <c:pt idx="0">
                  <c:v>İstanbul</c:v>
                </c:pt>
                <c:pt idx="1">
                  <c:v>İzmir</c:v>
                </c:pt>
                <c:pt idx="2">
                  <c:v>Bursa</c:v>
                </c:pt>
              </c:strCache>
            </c:strRef>
          </c:cat>
          <c:val>
            <c:numRef>
              <c:f>Sayfa1!$B$2:$B$4</c:f>
              <c:numCache>
                <c:formatCode>General</c:formatCode>
                <c:ptCount val="3"/>
                <c:pt idx="0">
                  <c:v>60</c:v>
                </c:pt>
                <c:pt idx="1">
                  <c:v>50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0-40D5-BD81-4530E8E755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Sayfa1!$E$9:$M$9</c:f>
              <c:strCache>
                <c:ptCount val="9"/>
                <c:pt idx="0">
                  <c:v>Nisan</c:v>
                </c:pt>
                <c:pt idx="1">
                  <c:v>Mayıs</c:v>
                </c:pt>
                <c:pt idx="2">
                  <c:v>Haziran</c:v>
                </c:pt>
                <c:pt idx="3">
                  <c:v>Temmuz</c:v>
                </c:pt>
                <c:pt idx="4">
                  <c:v>Ağustos</c:v>
                </c:pt>
                <c:pt idx="5">
                  <c:v>Eylül</c:v>
                </c:pt>
                <c:pt idx="6">
                  <c:v>Ekim</c:v>
                </c:pt>
                <c:pt idx="7">
                  <c:v>Kasım</c:v>
                </c:pt>
                <c:pt idx="8">
                  <c:v>Aralık</c:v>
                </c:pt>
              </c:strCache>
            </c:strRef>
          </c:cat>
          <c:val>
            <c:numRef>
              <c:f>Sayfa1!$E$10:$M$10</c:f>
              <c:numCache>
                <c:formatCode>General</c:formatCode>
                <c:ptCount val="9"/>
                <c:pt idx="0">
                  <c:v>4222</c:v>
                </c:pt>
                <c:pt idx="1">
                  <c:v>1207</c:v>
                </c:pt>
                <c:pt idx="2">
                  <c:v>2916</c:v>
                </c:pt>
                <c:pt idx="3">
                  <c:v>4079</c:v>
                </c:pt>
                <c:pt idx="4">
                  <c:v>2800</c:v>
                </c:pt>
                <c:pt idx="5">
                  <c:v>788</c:v>
                </c:pt>
                <c:pt idx="6">
                  <c:v>2260</c:v>
                </c:pt>
                <c:pt idx="7">
                  <c:v>3181</c:v>
                </c:pt>
                <c:pt idx="8">
                  <c:v>1778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F-4ED1-B5AC-A6ACB7E89D1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Sayfa1!$E$9:$M$9</c:f>
              <c:strCache>
                <c:ptCount val="9"/>
                <c:pt idx="0">
                  <c:v>Nisan</c:v>
                </c:pt>
                <c:pt idx="1">
                  <c:v>Mayıs</c:v>
                </c:pt>
                <c:pt idx="2">
                  <c:v>Haziran</c:v>
                </c:pt>
                <c:pt idx="3">
                  <c:v>Temmuz</c:v>
                </c:pt>
                <c:pt idx="4">
                  <c:v>Ağustos</c:v>
                </c:pt>
                <c:pt idx="5">
                  <c:v>Eylül</c:v>
                </c:pt>
                <c:pt idx="6">
                  <c:v>Ekim</c:v>
                </c:pt>
                <c:pt idx="7">
                  <c:v>Kasım</c:v>
                </c:pt>
                <c:pt idx="8">
                  <c:v>Aralık</c:v>
                </c:pt>
              </c:strCache>
            </c:strRef>
          </c:cat>
          <c:val>
            <c:numRef>
              <c:f>Sayfa1!$E$11:$M$11</c:f>
              <c:numCache>
                <c:formatCode>General</c:formatCode>
                <c:ptCount val="9"/>
                <c:pt idx="0">
                  <c:v>525</c:v>
                </c:pt>
                <c:pt idx="1">
                  <c:v>3007</c:v>
                </c:pt>
                <c:pt idx="2">
                  <c:v>3754</c:v>
                </c:pt>
                <c:pt idx="3">
                  <c:v>2142</c:v>
                </c:pt>
                <c:pt idx="4">
                  <c:v>1890</c:v>
                </c:pt>
                <c:pt idx="5">
                  <c:v>2070</c:v>
                </c:pt>
                <c:pt idx="6">
                  <c:v>3066</c:v>
                </c:pt>
                <c:pt idx="7">
                  <c:v>2744</c:v>
                </c:pt>
                <c:pt idx="8">
                  <c:v>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F-4ED1-B5AC-A6ACB7E89D1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Sayfa1!$E$9:$M$9</c:f>
              <c:strCache>
                <c:ptCount val="9"/>
                <c:pt idx="0">
                  <c:v>Nisan</c:v>
                </c:pt>
                <c:pt idx="1">
                  <c:v>Mayıs</c:v>
                </c:pt>
                <c:pt idx="2">
                  <c:v>Haziran</c:v>
                </c:pt>
                <c:pt idx="3">
                  <c:v>Temmuz</c:v>
                </c:pt>
                <c:pt idx="4">
                  <c:v>Ağustos</c:v>
                </c:pt>
                <c:pt idx="5">
                  <c:v>Eylül</c:v>
                </c:pt>
                <c:pt idx="6">
                  <c:v>Ekim</c:v>
                </c:pt>
                <c:pt idx="7">
                  <c:v>Kasım</c:v>
                </c:pt>
                <c:pt idx="8">
                  <c:v>Aralık</c:v>
                </c:pt>
              </c:strCache>
            </c:strRef>
          </c:cat>
          <c:val>
            <c:numRef>
              <c:f>Sayfa1!$E$12:$M$12</c:f>
              <c:numCache>
                <c:formatCode>General</c:formatCode>
                <c:ptCount val="9"/>
                <c:pt idx="0">
                  <c:v>578</c:v>
                </c:pt>
                <c:pt idx="1">
                  <c:v>2910</c:v>
                </c:pt>
                <c:pt idx="2">
                  <c:v>4142</c:v>
                </c:pt>
                <c:pt idx="3">
                  <c:v>1395</c:v>
                </c:pt>
                <c:pt idx="4">
                  <c:v>4706</c:v>
                </c:pt>
                <c:pt idx="5">
                  <c:v>4973</c:v>
                </c:pt>
                <c:pt idx="6">
                  <c:v>3343</c:v>
                </c:pt>
                <c:pt idx="7">
                  <c:v>857</c:v>
                </c:pt>
                <c:pt idx="8">
                  <c:v>4693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F-4ED1-B5AC-A6ACB7E89D1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Sayfa1!$E$9:$M$9</c:f>
              <c:strCache>
                <c:ptCount val="9"/>
                <c:pt idx="0">
                  <c:v>Nisan</c:v>
                </c:pt>
                <c:pt idx="1">
                  <c:v>Mayıs</c:v>
                </c:pt>
                <c:pt idx="2">
                  <c:v>Haziran</c:v>
                </c:pt>
                <c:pt idx="3">
                  <c:v>Temmuz</c:v>
                </c:pt>
                <c:pt idx="4">
                  <c:v>Ağustos</c:v>
                </c:pt>
                <c:pt idx="5">
                  <c:v>Eylül</c:v>
                </c:pt>
                <c:pt idx="6">
                  <c:v>Ekim</c:v>
                </c:pt>
                <c:pt idx="7">
                  <c:v>Kasım</c:v>
                </c:pt>
                <c:pt idx="8">
                  <c:v>Aralık</c:v>
                </c:pt>
              </c:strCache>
            </c:strRef>
          </c:cat>
          <c:val>
            <c:numRef>
              <c:f>Sayfa1!$E$13:$M$13</c:f>
              <c:numCache>
                <c:formatCode>General</c:formatCode>
                <c:ptCount val="9"/>
                <c:pt idx="0">
                  <c:v>5325</c:v>
                </c:pt>
                <c:pt idx="1">
                  <c:v>7144</c:v>
                </c:pt>
                <c:pt idx="2">
                  <c:v>10812</c:v>
                </c:pt>
                <c:pt idx="3">
                  <c:v>7616</c:v>
                </c:pt>
                <c:pt idx="4">
                  <c:v>9336</c:v>
                </c:pt>
                <c:pt idx="5">
                  <c:v>7831</c:v>
                </c:pt>
                <c:pt idx="6">
                  <c:v>8669</c:v>
                </c:pt>
                <c:pt idx="7">
                  <c:v>6782</c:v>
                </c:pt>
                <c:pt idx="8">
                  <c:v>7918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F-4ED1-B5AC-A6ACB7E89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372623"/>
        <c:axId val="455378319"/>
      </c:lineChart>
      <c:catAx>
        <c:axId val="70837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55378319"/>
        <c:crosses val="autoZero"/>
        <c:auto val="1"/>
        <c:lblAlgn val="ctr"/>
        <c:lblOffset val="100"/>
        <c:noMultiLvlLbl val="0"/>
      </c:catAx>
      <c:valAx>
        <c:axId val="4553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0837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Sayfa2!$G$5</c:f>
              <c:strCache>
                <c:ptCount val="1"/>
                <c:pt idx="0">
                  <c:v>Personel Sayısı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Sayfa2!$F$6:$F$8</c:f>
              <c:strCache>
                <c:ptCount val="3"/>
                <c:pt idx="0">
                  <c:v>İstanbul</c:v>
                </c:pt>
                <c:pt idx="1">
                  <c:v>İzmir</c:v>
                </c:pt>
                <c:pt idx="2">
                  <c:v>Bursa</c:v>
                </c:pt>
              </c:strCache>
            </c:strRef>
          </c:cat>
          <c:val>
            <c:numRef>
              <c:f>Sayfa2!$G$6:$G$8</c:f>
              <c:numCache>
                <c:formatCode>General</c:formatCode>
                <c:ptCount val="3"/>
                <c:pt idx="0">
                  <c:v>60</c:v>
                </c:pt>
                <c:pt idx="1">
                  <c:v>50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5-4E94-9EC9-4045572DAD8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Sayfa2!$H$6:$H$8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5-4E94-9EC9-4045572DA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93871647"/>
        <c:axId val="993869727"/>
      </c:barChart>
      <c:catAx>
        <c:axId val="99387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93869727"/>
        <c:crosses val="autoZero"/>
        <c:auto val="1"/>
        <c:lblAlgn val="ctr"/>
        <c:lblOffset val="100"/>
        <c:noMultiLvlLbl val="0"/>
      </c:catAx>
      <c:valAx>
        <c:axId val="99386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9387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0</xdr:row>
      <xdr:rowOff>53340</xdr:rowOff>
    </xdr:from>
    <xdr:to>
      <xdr:col>10</xdr:col>
      <xdr:colOff>472440</xdr:colOff>
      <xdr:row>7</xdr:row>
      <xdr:rowOff>53340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58C774F-C723-DF12-BED4-A639D7049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175260</xdr:colOff>
      <xdr:row>4</xdr:row>
      <xdr:rowOff>22860</xdr:rowOff>
    </xdr:from>
    <xdr:to>
      <xdr:col>20</xdr:col>
      <xdr:colOff>480060</xdr:colOff>
      <xdr:row>15</xdr:row>
      <xdr:rowOff>160020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DBC22108-0AFF-6B18-A8CF-3BBED37B6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188311</xdr:colOff>
      <xdr:row>8</xdr:row>
      <xdr:rowOff>183055</xdr:rowOff>
    </xdr:from>
    <xdr:to>
      <xdr:col>15</xdr:col>
      <xdr:colOff>468586</xdr:colOff>
      <xdr:row>23</xdr:row>
      <xdr:rowOff>167289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A9E41285-8CCB-D4CA-513F-C4B928643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106E-8847-470E-817B-E5AA131DFEAD}">
  <dimension ref="A1:M28"/>
  <sheetViews>
    <sheetView workbookViewId="0">
      <selection sqref="A1:B4"/>
    </sheetView>
  </sheetViews>
  <sheetFormatPr defaultRowHeight="14.4" x14ac:dyDescent="0.3"/>
  <cols>
    <col min="1" max="1" width="17.6640625" bestFit="1" customWidth="1"/>
    <col min="2" max="2" width="12.88671875" bestFit="1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>
        <v>60</v>
      </c>
    </row>
    <row r="3" spans="1:13" x14ac:dyDescent="0.3">
      <c r="A3" t="s">
        <v>3</v>
      </c>
      <c r="B3">
        <v>50</v>
      </c>
    </row>
    <row r="4" spans="1:13" x14ac:dyDescent="0.3">
      <c r="A4" t="s">
        <v>4</v>
      </c>
      <c r="B4">
        <v>180</v>
      </c>
    </row>
    <row r="9" spans="1:13" x14ac:dyDescent="0.3">
      <c r="A9" t="s">
        <v>5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</row>
    <row r="10" spans="1:13" x14ac:dyDescent="0.3">
      <c r="A10" t="s">
        <v>2</v>
      </c>
      <c r="B10">
        <v>2636</v>
      </c>
      <c r="C10">
        <v>662</v>
      </c>
      <c r="D10">
        <v>4224</v>
      </c>
      <c r="E10">
        <v>4222</v>
      </c>
      <c r="F10">
        <v>1207</v>
      </c>
      <c r="G10">
        <v>2916</v>
      </c>
      <c r="H10">
        <v>4079</v>
      </c>
      <c r="I10">
        <v>2800</v>
      </c>
      <c r="J10">
        <v>788</v>
      </c>
      <c r="K10">
        <v>2260</v>
      </c>
      <c r="L10">
        <v>3181</v>
      </c>
      <c r="M10">
        <v>1778</v>
      </c>
    </row>
    <row r="11" spans="1:13" x14ac:dyDescent="0.3">
      <c r="A11" t="s">
        <v>3</v>
      </c>
      <c r="B11">
        <v>1928</v>
      </c>
      <c r="C11">
        <v>2391</v>
      </c>
      <c r="D11">
        <v>2920</v>
      </c>
      <c r="E11">
        <v>525</v>
      </c>
      <c r="F11">
        <v>3007</v>
      </c>
      <c r="G11">
        <v>3754</v>
      </c>
      <c r="H11">
        <v>2142</v>
      </c>
      <c r="I11">
        <v>1890</v>
      </c>
      <c r="J11">
        <v>2070</v>
      </c>
      <c r="K11">
        <v>3066</v>
      </c>
      <c r="L11">
        <v>2744</v>
      </c>
      <c r="M11">
        <v>1447</v>
      </c>
    </row>
    <row r="12" spans="1:13" x14ac:dyDescent="0.3">
      <c r="A12" t="s">
        <v>4</v>
      </c>
      <c r="B12">
        <v>4412</v>
      </c>
      <c r="C12">
        <v>1870</v>
      </c>
      <c r="D12">
        <v>2437</v>
      </c>
      <c r="E12">
        <v>578</v>
      </c>
      <c r="F12">
        <v>2910</v>
      </c>
      <c r="G12">
        <v>4142</v>
      </c>
      <c r="H12">
        <v>1395</v>
      </c>
      <c r="I12">
        <v>4706</v>
      </c>
      <c r="J12">
        <v>4973</v>
      </c>
      <c r="K12">
        <v>3343</v>
      </c>
      <c r="L12">
        <v>857</v>
      </c>
      <c r="M12">
        <v>4693</v>
      </c>
    </row>
    <row r="13" spans="1:13" x14ac:dyDescent="0.3">
      <c r="A13" t="s">
        <v>6</v>
      </c>
      <c r="B13">
        <v>8876</v>
      </c>
      <c r="C13">
        <v>4923</v>
      </c>
      <c r="D13">
        <v>9581</v>
      </c>
      <c r="E13">
        <v>5325</v>
      </c>
      <c r="F13">
        <v>7144</v>
      </c>
      <c r="G13">
        <v>10812</v>
      </c>
      <c r="H13">
        <v>7616</v>
      </c>
      <c r="I13">
        <v>9336</v>
      </c>
      <c r="J13">
        <v>7831</v>
      </c>
      <c r="K13">
        <v>8669</v>
      </c>
      <c r="L13">
        <v>6782</v>
      </c>
      <c r="M13">
        <v>7918</v>
      </c>
    </row>
    <row r="17" spans="1:2" x14ac:dyDescent="0.3">
      <c r="A17" t="s">
        <v>19</v>
      </c>
      <c r="B17" t="s">
        <v>20</v>
      </c>
    </row>
    <row r="18" spans="1:2" x14ac:dyDescent="0.3">
      <c r="A18" t="s">
        <v>21</v>
      </c>
      <c r="B18">
        <v>6047</v>
      </c>
    </row>
    <row r="19" spans="1:2" x14ac:dyDescent="0.3">
      <c r="A19" t="s">
        <v>22</v>
      </c>
      <c r="B19">
        <v>907</v>
      </c>
    </row>
    <row r="20" spans="1:2" x14ac:dyDescent="0.3">
      <c r="A20" t="s">
        <v>23</v>
      </c>
      <c r="B20">
        <v>790</v>
      </c>
    </row>
    <row r="21" spans="1:2" x14ac:dyDescent="0.3">
      <c r="A21" t="s">
        <v>24</v>
      </c>
      <c r="B21">
        <v>2463</v>
      </c>
    </row>
    <row r="22" spans="1:2" x14ac:dyDescent="0.3">
      <c r="A22" t="s">
        <v>25</v>
      </c>
      <c r="B22">
        <v>9536</v>
      </c>
    </row>
    <row r="23" spans="1:2" x14ac:dyDescent="0.3">
      <c r="A23" t="s">
        <v>26</v>
      </c>
      <c r="B23">
        <v>9949</v>
      </c>
    </row>
    <row r="24" spans="1:2" x14ac:dyDescent="0.3">
      <c r="A24" t="s">
        <v>27</v>
      </c>
      <c r="B24">
        <v>6901</v>
      </c>
    </row>
    <row r="25" spans="1:2" x14ac:dyDescent="0.3">
      <c r="A25" t="s">
        <v>28</v>
      </c>
      <c r="B25">
        <v>965</v>
      </c>
    </row>
    <row r="26" spans="1:2" x14ac:dyDescent="0.3">
      <c r="A26" t="s">
        <v>29</v>
      </c>
      <c r="B26">
        <v>5126</v>
      </c>
    </row>
    <row r="27" spans="1:2" x14ac:dyDescent="0.3">
      <c r="A27" t="s">
        <v>30</v>
      </c>
      <c r="B27">
        <v>5149</v>
      </c>
    </row>
    <row r="28" spans="1:2" x14ac:dyDescent="0.3">
      <c r="B28">
        <v>3242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C44D-1F80-429D-9B97-B6B473DB11F5}">
  <dimension ref="E3:H8"/>
  <sheetViews>
    <sheetView tabSelected="1" zoomScale="87" workbookViewId="0">
      <selection activeCell="E3" sqref="E3"/>
    </sheetView>
  </sheetViews>
  <sheetFormatPr defaultRowHeight="14.4" x14ac:dyDescent="0.3"/>
  <cols>
    <col min="1" max="1" width="10.77734375" bestFit="1" customWidth="1"/>
    <col min="2" max="2" width="12.88671875" bestFit="1" customWidth="1"/>
    <col min="6" max="6" width="10.77734375" bestFit="1" customWidth="1"/>
    <col min="7" max="7" width="12.88671875" bestFit="1" customWidth="1"/>
  </cols>
  <sheetData>
    <row r="3" spans="5:8" x14ac:dyDescent="0.3">
      <c r="E3" t="s">
        <v>4</v>
      </c>
    </row>
    <row r="5" spans="5:8" x14ac:dyDescent="0.3">
      <c r="F5" t="s">
        <v>0</v>
      </c>
      <c r="G5" t="s">
        <v>1</v>
      </c>
    </row>
    <row r="6" spans="5:8" x14ac:dyDescent="0.3">
      <c r="F6" t="s">
        <v>2</v>
      </c>
      <c r="G6">
        <v>60</v>
      </c>
      <c r="H6" t="str">
        <f>IF($E$3=F6,G6,"")</f>
        <v/>
      </c>
    </row>
    <row r="7" spans="5:8" x14ac:dyDescent="0.3">
      <c r="F7" t="s">
        <v>3</v>
      </c>
      <c r="G7">
        <v>50</v>
      </c>
      <c r="H7" t="str">
        <f t="shared" ref="H7:H8" si="0">IF($E$3=F7,G7,"")</f>
        <v/>
      </c>
    </row>
    <row r="8" spans="5:8" x14ac:dyDescent="0.3">
      <c r="F8" t="s">
        <v>4</v>
      </c>
      <c r="G8">
        <v>180</v>
      </c>
      <c r="H8">
        <f t="shared" si="0"/>
        <v>180</v>
      </c>
    </row>
  </sheetData>
  <dataValidations count="2">
    <dataValidation type="list" allowBlank="1" showInputMessage="1" showErrorMessage="1" sqref="E6" xr:uid="{4FA27F1B-15C2-44D5-B709-AF3DE6977486}">
      <formula1>$A$2:$A$4</formula1>
    </dataValidation>
    <dataValidation type="list" allowBlank="1" showInputMessage="1" showErrorMessage="1" sqref="F4 E3" xr:uid="{B37AE8B3-BF43-49EC-8D2D-D94B3E4C29EF}">
      <formula1>$F$6:$F$8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2026-01-20T18:37:01Z</dcterms:created>
  <dcterms:modified xsi:type="dcterms:W3CDTF">2026-01-20T20:00:08Z</dcterms:modified>
</cp:coreProperties>
</file>