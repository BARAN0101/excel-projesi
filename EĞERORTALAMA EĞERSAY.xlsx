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CE9F61B6-64EA-43E8-A0E1-0D23B5D0C8FB}" xr6:coauthVersionLast="47" xr6:coauthVersionMax="47" xr10:uidLastSave="{00000000-0000-0000-0000-000000000000}"/>
  <bookViews>
    <workbookView xWindow="-108" yWindow="-108" windowWidth="23256" windowHeight="12456" xr2:uid="{F3AA9648-AC16-41EF-8A41-80F80243161D}"/>
  </bookViews>
  <sheets>
    <sheet name="Sayfa1" sheetId="1" r:id="rId1"/>
  </sheets>
  <definedNames>
    <definedName name="_xlnm._FilterDatabase" localSheetId="0" hidden="1">Sayfa1!$A$1:$F$30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" i="1" l="1"/>
  <c r="R6" i="1"/>
  <c r="R5" i="1"/>
  <c r="R4" i="1"/>
  <c r="R3" i="1"/>
  <c r="R2" i="1"/>
  <c r="O6" i="1"/>
  <c r="O5" i="1"/>
  <c r="O4" i="1"/>
  <c r="O3" i="1"/>
  <c r="O2" i="1"/>
  <c r="L4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L5" i="1" s="1"/>
  <c r="F9" i="1"/>
  <c r="F8" i="1"/>
  <c r="L3" i="1" s="1"/>
  <c r="F7" i="1"/>
  <c r="F6" i="1"/>
  <c r="F5" i="1"/>
  <c r="F4" i="1"/>
  <c r="F3" i="1"/>
  <c r="F2" i="1"/>
  <c r="L2" i="1" s="1"/>
  <c r="L6" i="1" l="1"/>
</calcChain>
</file>

<file path=xl/sharedStrings.xml><?xml version="1.0" encoding="utf-8"?>
<sst xmlns="http://schemas.openxmlformats.org/spreadsheetml/2006/main" count="115" uniqueCount="24">
  <si>
    <t>Ürün Adı</t>
  </si>
  <si>
    <t>Marka</t>
  </si>
  <si>
    <t>Bölge</t>
  </si>
  <si>
    <t>Adet</t>
  </si>
  <si>
    <t>Fiyat</t>
  </si>
  <si>
    <t>Toplam</t>
  </si>
  <si>
    <t>CD-ROM</t>
  </si>
  <si>
    <t>CREATİVE</t>
  </si>
  <si>
    <t>ADANA</t>
  </si>
  <si>
    <t>MONITOR</t>
  </si>
  <si>
    <t>IBM</t>
  </si>
  <si>
    <t>MICROSOFT</t>
  </si>
  <si>
    <t>MOUSE</t>
  </si>
  <si>
    <t>CANON</t>
  </si>
  <si>
    <t>PRİNTER</t>
  </si>
  <si>
    <t>ANKARA</t>
  </si>
  <si>
    <t>PACKARD BELL</t>
  </si>
  <si>
    <t>HP</t>
  </si>
  <si>
    <t>COMPUTER</t>
  </si>
  <si>
    <t>Mersin</t>
  </si>
  <si>
    <t>İzmir</t>
  </si>
  <si>
    <t>Antalya</t>
  </si>
  <si>
    <t>Ortalama Fiyat</t>
  </si>
  <si>
    <t>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</si>
</sst>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_-[$₺-41F]* #,##0.00_-;\-[$₺-41F]* #,##0.00_-;_-[$₺-41F]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0" fillId="0" borderId="1" xfId="0" applyBorder="1"/>
    <xf numFmtId="164" fontId="0" fillId="0" borderId="0" xfId="0" applyNumberFormat="1"/>
    <xf numFmtId="44" fontId="0" fillId="0" borderId="0" xfId="1" applyFont="1"/>
    <xf numFmtId="164" fontId="0" fillId="0" borderId="0" xfId="0" applyNumberFormat="1" applyFill="1" applyBorder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D5EB-983F-420B-9FB4-910A9C897A72}">
  <dimension ref="A1:R30"/>
  <sheetViews>
    <sheetView tabSelected="1" workbookViewId="0">
      <selection activeCell="J12" sqref="J12"/>
    </sheetView>
  </sheetViews>
  <sheetFormatPr defaultRowHeight="14.4" x14ac:dyDescent="0.3"/>
  <cols>
    <col min="2" max="2" width="13.109375" bestFit="1" customWidth="1"/>
    <col min="6" max="6" width="14" bestFit="1" customWidth="1"/>
    <col min="12" max="12" width="14" bestFit="1" customWidth="1"/>
    <col min="14" max="14" width="10.5546875" bestFit="1" customWidth="1"/>
    <col min="15" max="15" width="13.109375" bestFit="1" customWidth="1"/>
    <col min="17" max="17" width="13.109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K1" s="1" t="s">
        <v>2</v>
      </c>
      <c r="L1" s="2" t="s">
        <v>5</v>
      </c>
      <c r="N1" s="1" t="s">
        <v>0</v>
      </c>
      <c r="O1" s="1" t="s">
        <v>22</v>
      </c>
      <c r="Q1" s="1" t="s">
        <v>1</v>
      </c>
      <c r="R1" s="1" t="s">
        <v>23</v>
      </c>
    </row>
    <row r="2" spans="1:18" x14ac:dyDescent="0.3">
      <c r="A2" s="3" t="s">
        <v>6</v>
      </c>
      <c r="B2" s="3" t="s">
        <v>7</v>
      </c>
      <c r="C2" s="3" t="s">
        <v>8</v>
      </c>
      <c r="D2" s="3">
        <v>10</v>
      </c>
      <c r="E2" s="3">
        <v>350</v>
      </c>
      <c r="F2" s="4">
        <f>SUM(E2*D2)</f>
        <v>3500</v>
      </c>
      <c r="K2" s="3" t="s">
        <v>8</v>
      </c>
      <c r="L2" s="4">
        <f>SUMIF(C:C,K2,F:F)</f>
        <v>7513500</v>
      </c>
      <c r="N2" s="3" t="s">
        <v>6</v>
      </c>
      <c r="O2" s="4">
        <f>AVERAGEIF(A:A,N2,E:E)</f>
        <v>350</v>
      </c>
      <c r="Q2" s="3" t="s">
        <v>7</v>
      </c>
      <c r="R2">
        <f>COUNTIF(B:B,Q2)</f>
        <v>1</v>
      </c>
    </row>
    <row r="3" spans="1:18" x14ac:dyDescent="0.3">
      <c r="A3" s="3" t="s">
        <v>9</v>
      </c>
      <c r="B3" s="3" t="s">
        <v>10</v>
      </c>
      <c r="C3" s="3" t="s">
        <v>8</v>
      </c>
      <c r="D3" s="3">
        <v>15</v>
      </c>
      <c r="E3" s="3">
        <v>100000</v>
      </c>
      <c r="F3" s="4">
        <f>SUM(E3*D3)</f>
        <v>1500000</v>
      </c>
      <c r="K3" s="3" t="s">
        <v>19</v>
      </c>
      <c r="L3" s="4">
        <f>SUMIF(C:C,K3,F:F)</f>
        <v>10000</v>
      </c>
      <c r="N3" s="3" t="s">
        <v>9</v>
      </c>
      <c r="O3" s="4">
        <f>AVERAGEIF(A:A,N3,E:E)</f>
        <v>45461.36363636364</v>
      </c>
      <c r="Q3" s="3" t="s">
        <v>10</v>
      </c>
      <c r="R3">
        <f>COUNTIF(B:B,Q3)</f>
        <v>4</v>
      </c>
    </row>
    <row r="4" spans="1:18" x14ac:dyDescent="0.3">
      <c r="A4" s="3" t="s">
        <v>9</v>
      </c>
      <c r="B4" s="3" t="s">
        <v>10</v>
      </c>
      <c r="C4" s="3" t="s">
        <v>8</v>
      </c>
      <c r="D4" s="3">
        <v>15</v>
      </c>
      <c r="E4" s="3">
        <v>100000</v>
      </c>
      <c r="F4" s="4">
        <f>SUM(E4*D4)</f>
        <v>1500000</v>
      </c>
      <c r="K4" s="3" t="s">
        <v>20</v>
      </c>
      <c r="L4" s="4">
        <f>SUMIF(C:C,K4,F:F)</f>
        <v>10000</v>
      </c>
      <c r="N4" s="3" t="s">
        <v>12</v>
      </c>
      <c r="O4" s="4">
        <f>AVERAGEIF(A:A,N4,E:E)</f>
        <v>100</v>
      </c>
      <c r="Q4" s="3" t="s">
        <v>11</v>
      </c>
      <c r="R4">
        <f>COUNTIF(B:B,Q4)</f>
        <v>4</v>
      </c>
    </row>
    <row r="5" spans="1:18" x14ac:dyDescent="0.3">
      <c r="A5" s="3" t="s">
        <v>9</v>
      </c>
      <c r="B5" s="3" t="s">
        <v>10</v>
      </c>
      <c r="C5" s="3" t="s">
        <v>8</v>
      </c>
      <c r="D5" s="3">
        <v>15</v>
      </c>
      <c r="E5" s="3">
        <v>100000</v>
      </c>
      <c r="F5" s="4">
        <f t="shared" ref="F5:F30" si="0">SUM(E5*D5)</f>
        <v>1500000</v>
      </c>
      <c r="K5" s="3" t="s">
        <v>21</v>
      </c>
      <c r="L5" s="4">
        <f>SUMIF(C:C,K5,F:F)</f>
        <v>10000</v>
      </c>
      <c r="N5" s="3" t="s">
        <v>14</v>
      </c>
      <c r="O5" s="5">
        <f>AVERAGEIF(A:A,N5,E:E)</f>
        <v>59.5</v>
      </c>
      <c r="Q5" s="3" t="s">
        <v>13</v>
      </c>
      <c r="R5">
        <f>COUNTIF(B:B,Q5)</f>
        <v>5</v>
      </c>
    </row>
    <row r="6" spans="1:18" x14ac:dyDescent="0.3">
      <c r="A6" s="3" t="s">
        <v>9</v>
      </c>
      <c r="B6" s="3" t="s">
        <v>10</v>
      </c>
      <c r="C6" s="3" t="s">
        <v>8</v>
      </c>
      <c r="D6" s="3">
        <v>15</v>
      </c>
      <c r="E6" s="3">
        <v>100000</v>
      </c>
      <c r="F6" s="4">
        <f t="shared" si="0"/>
        <v>1500000</v>
      </c>
      <c r="K6" s="3" t="s">
        <v>15</v>
      </c>
      <c r="L6" s="4">
        <f>SUMIF(C:C,K6,F:F)</f>
        <v>2031225</v>
      </c>
      <c r="N6" s="3" t="s">
        <v>18</v>
      </c>
      <c r="O6" s="6">
        <f>AVERAGEIF(A:A,N6,E:E)</f>
        <v>67100</v>
      </c>
      <c r="Q6" s="3" t="s">
        <v>16</v>
      </c>
      <c r="R6">
        <f>COUNTIF(B:B,Q6)</f>
        <v>5</v>
      </c>
    </row>
    <row r="7" spans="1:18" x14ac:dyDescent="0.3">
      <c r="A7" s="3" t="s">
        <v>9</v>
      </c>
      <c r="B7" s="3" t="s">
        <v>11</v>
      </c>
      <c r="C7" s="3" t="s">
        <v>8</v>
      </c>
      <c r="D7" s="3">
        <v>15</v>
      </c>
      <c r="E7" s="3">
        <v>100000</v>
      </c>
      <c r="F7" s="4">
        <f t="shared" si="0"/>
        <v>1500000</v>
      </c>
      <c r="Q7" s="3" t="s">
        <v>17</v>
      </c>
      <c r="R7">
        <f>COUNTIF(B:B,Q7)</f>
        <v>10</v>
      </c>
    </row>
    <row r="8" spans="1:18" x14ac:dyDescent="0.3">
      <c r="A8" s="3" t="s">
        <v>12</v>
      </c>
      <c r="B8" s="3" t="s">
        <v>11</v>
      </c>
      <c r="C8" s="3" t="s">
        <v>19</v>
      </c>
      <c r="D8" s="3">
        <v>100</v>
      </c>
      <c r="E8" s="3">
        <v>100</v>
      </c>
      <c r="F8" s="4">
        <f t="shared" si="0"/>
        <v>10000</v>
      </c>
    </row>
    <row r="9" spans="1:18" x14ac:dyDescent="0.3">
      <c r="A9" s="3" t="s">
        <v>12</v>
      </c>
      <c r="B9" s="3" t="s">
        <v>11</v>
      </c>
      <c r="C9" s="3" t="s">
        <v>20</v>
      </c>
      <c r="D9" s="3">
        <v>100</v>
      </c>
      <c r="E9" s="3">
        <v>100</v>
      </c>
      <c r="F9" s="4">
        <f t="shared" si="0"/>
        <v>10000</v>
      </c>
    </row>
    <row r="10" spans="1:18" x14ac:dyDescent="0.3">
      <c r="A10" s="3" t="s">
        <v>12</v>
      </c>
      <c r="B10" s="3" t="s">
        <v>11</v>
      </c>
      <c r="C10" s="3" t="s">
        <v>21</v>
      </c>
      <c r="D10" s="3">
        <v>100</v>
      </c>
      <c r="E10" s="3">
        <v>100</v>
      </c>
      <c r="F10" s="4">
        <f t="shared" si="0"/>
        <v>10000</v>
      </c>
    </row>
    <row r="11" spans="1:18" x14ac:dyDescent="0.3">
      <c r="A11" s="3" t="s">
        <v>12</v>
      </c>
      <c r="B11" s="3" t="s">
        <v>13</v>
      </c>
      <c r="C11" s="3" t="s">
        <v>8</v>
      </c>
      <c r="D11" s="3">
        <v>100</v>
      </c>
      <c r="E11" s="3">
        <v>100</v>
      </c>
      <c r="F11" s="4">
        <f t="shared" si="0"/>
        <v>10000</v>
      </c>
    </row>
    <row r="12" spans="1:18" x14ac:dyDescent="0.3">
      <c r="A12" s="3" t="s">
        <v>14</v>
      </c>
      <c r="B12" s="3" t="s">
        <v>13</v>
      </c>
      <c r="C12" s="3" t="s">
        <v>15</v>
      </c>
      <c r="D12" s="3">
        <v>100</v>
      </c>
      <c r="E12" s="3">
        <v>20</v>
      </c>
      <c r="F12" s="4">
        <f t="shared" si="0"/>
        <v>2000</v>
      </c>
    </row>
    <row r="13" spans="1:18" x14ac:dyDescent="0.3">
      <c r="A13" s="3" t="s">
        <v>14</v>
      </c>
      <c r="B13" s="3" t="s">
        <v>13</v>
      </c>
      <c r="C13" s="3" t="s">
        <v>15</v>
      </c>
      <c r="D13" s="3">
        <v>20</v>
      </c>
      <c r="E13" s="3">
        <v>20</v>
      </c>
      <c r="F13" s="4">
        <f t="shared" si="0"/>
        <v>400</v>
      </c>
    </row>
    <row r="14" spans="1:18" x14ac:dyDescent="0.3">
      <c r="A14" s="3" t="s">
        <v>14</v>
      </c>
      <c r="B14" s="3" t="s">
        <v>13</v>
      </c>
      <c r="C14" s="3" t="s">
        <v>15</v>
      </c>
      <c r="D14" s="3">
        <v>20</v>
      </c>
      <c r="E14" s="3">
        <v>20</v>
      </c>
      <c r="F14" s="4">
        <f t="shared" si="0"/>
        <v>400</v>
      </c>
    </row>
    <row r="15" spans="1:18" x14ac:dyDescent="0.3">
      <c r="A15" s="3" t="s">
        <v>14</v>
      </c>
      <c r="B15" s="3" t="s">
        <v>13</v>
      </c>
      <c r="C15" s="3" t="s">
        <v>15</v>
      </c>
      <c r="D15" s="3">
        <v>20</v>
      </c>
      <c r="E15" s="3">
        <v>20</v>
      </c>
      <c r="F15" s="4">
        <f t="shared" si="0"/>
        <v>400</v>
      </c>
    </row>
    <row r="16" spans="1:18" x14ac:dyDescent="0.3">
      <c r="A16" s="3" t="s">
        <v>14</v>
      </c>
      <c r="B16" s="3" t="s">
        <v>16</v>
      </c>
      <c r="C16" s="3" t="s">
        <v>15</v>
      </c>
      <c r="D16" s="3">
        <v>20</v>
      </c>
      <c r="E16" s="3">
        <v>10</v>
      </c>
      <c r="F16" s="4">
        <f t="shared" si="0"/>
        <v>200</v>
      </c>
    </row>
    <row r="17" spans="1:6" x14ac:dyDescent="0.3">
      <c r="A17" s="3" t="s">
        <v>9</v>
      </c>
      <c r="B17" s="3" t="s">
        <v>16</v>
      </c>
      <c r="C17" s="3" t="s">
        <v>15</v>
      </c>
      <c r="D17" s="3">
        <v>10</v>
      </c>
      <c r="E17" s="3">
        <v>10</v>
      </c>
      <c r="F17" s="4">
        <f t="shared" si="0"/>
        <v>100</v>
      </c>
    </row>
    <row r="18" spans="1:6" x14ac:dyDescent="0.3">
      <c r="A18" s="3" t="s">
        <v>9</v>
      </c>
      <c r="B18" s="3" t="s">
        <v>16</v>
      </c>
      <c r="C18" s="3" t="s">
        <v>15</v>
      </c>
      <c r="D18" s="3">
        <v>10</v>
      </c>
      <c r="E18" s="3">
        <v>10</v>
      </c>
      <c r="F18" s="4">
        <f t="shared" si="0"/>
        <v>100</v>
      </c>
    </row>
    <row r="19" spans="1:6" x14ac:dyDescent="0.3">
      <c r="A19" s="3" t="s">
        <v>9</v>
      </c>
      <c r="B19" s="3" t="s">
        <v>16</v>
      </c>
      <c r="C19" s="3" t="s">
        <v>15</v>
      </c>
      <c r="D19" s="3">
        <v>10</v>
      </c>
      <c r="E19" s="3">
        <v>10</v>
      </c>
      <c r="F19" s="4">
        <f t="shared" si="0"/>
        <v>100</v>
      </c>
    </row>
    <row r="20" spans="1:6" x14ac:dyDescent="0.3">
      <c r="A20" s="3" t="s">
        <v>9</v>
      </c>
      <c r="B20" s="3" t="s">
        <v>16</v>
      </c>
      <c r="C20" s="3" t="s">
        <v>15</v>
      </c>
      <c r="D20" s="3">
        <v>10</v>
      </c>
      <c r="E20" s="3">
        <v>15</v>
      </c>
      <c r="F20" s="4">
        <f t="shared" si="0"/>
        <v>150</v>
      </c>
    </row>
    <row r="21" spans="1:6" x14ac:dyDescent="0.3">
      <c r="A21" s="3" t="s">
        <v>9</v>
      </c>
      <c r="B21" s="3" t="s">
        <v>17</v>
      </c>
      <c r="C21" s="3" t="s">
        <v>15</v>
      </c>
      <c r="D21" s="3">
        <v>10</v>
      </c>
      <c r="E21" s="3">
        <v>15</v>
      </c>
      <c r="F21" s="4">
        <f t="shared" si="0"/>
        <v>150</v>
      </c>
    </row>
    <row r="22" spans="1:6" x14ac:dyDescent="0.3">
      <c r="A22" s="3" t="s">
        <v>9</v>
      </c>
      <c r="B22" s="3" t="s">
        <v>17</v>
      </c>
      <c r="C22" s="3" t="s">
        <v>15</v>
      </c>
      <c r="D22" s="3">
        <v>10</v>
      </c>
      <c r="E22" s="3">
        <v>15</v>
      </c>
      <c r="F22" s="4">
        <f t="shared" si="0"/>
        <v>150</v>
      </c>
    </row>
    <row r="23" spans="1:6" x14ac:dyDescent="0.3">
      <c r="A23" s="3" t="s">
        <v>14</v>
      </c>
      <c r="B23" s="3" t="s">
        <v>17</v>
      </c>
      <c r="C23" s="3" t="s">
        <v>15</v>
      </c>
      <c r="D23" s="3">
        <v>15</v>
      </c>
      <c r="E23" s="3">
        <v>15</v>
      </c>
      <c r="F23" s="4">
        <f t="shared" si="0"/>
        <v>225</v>
      </c>
    </row>
    <row r="24" spans="1:6" x14ac:dyDescent="0.3">
      <c r="A24" s="3" t="s">
        <v>14</v>
      </c>
      <c r="B24" s="3" t="s">
        <v>17</v>
      </c>
      <c r="C24" s="3" t="s">
        <v>15</v>
      </c>
      <c r="D24" s="3">
        <v>15</v>
      </c>
      <c r="E24" s="3">
        <v>10</v>
      </c>
      <c r="F24" s="4">
        <f t="shared" si="0"/>
        <v>150</v>
      </c>
    </row>
    <row r="25" spans="1:6" x14ac:dyDescent="0.3">
      <c r="A25" s="3" t="s">
        <v>14</v>
      </c>
      <c r="B25" s="3" t="s">
        <v>17</v>
      </c>
      <c r="C25" s="3" t="s">
        <v>15</v>
      </c>
      <c r="D25" s="3">
        <v>15</v>
      </c>
      <c r="E25" s="3">
        <v>15</v>
      </c>
      <c r="F25" s="4">
        <f t="shared" si="0"/>
        <v>225</v>
      </c>
    </row>
    <row r="26" spans="1:6" x14ac:dyDescent="0.3">
      <c r="A26" s="3" t="s">
        <v>14</v>
      </c>
      <c r="B26" s="3" t="s">
        <v>17</v>
      </c>
      <c r="C26" s="3" t="s">
        <v>15</v>
      </c>
      <c r="D26" s="3">
        <v>15</v>
      </c>
      <c r="E26" s="3">
        <v>15</v>
      </c>
      <c r="F26" s="4">
        <f t="shared" si="0"/>
        <v>225</v>
      </c>
    </row>
    <row r="27" spans="1:6" x14ac:dyDescent="0.3">
      <c r="A27" s="3" t="s">
        <v>14</v>
      </c>
      <c r="B27" s="3" t="s">
        <v>17</v>
      </c>
      <c r="C27" s="3" t="s">
        <v>15</v>
      </c>
      <c r="D27" s="3">
        <v>15</v>
      </c>
      <c r="E27" s="3">
        <v>450</v>
      </c>
      <c r="F27" s="4">
        <f t="shared" si="0"/>
        <v>6750</v>
      </c>
    </row>
    <row r="28" spans="1:6" x14ac:dyDescent="0.3">
      <c r="A28" s="3" t="s">
        <v>18</v>
      </c>
      <c r="B28" s="3" t="s">
        <v>17</v>
      </c>
      <c r="C28" s="3" t="s">
        <v>15</v>
      </c>
      <c r="D28" s="3">
        <v>10</v>
      </c>
      <c r="E28" s="3">
        <v>200000</v>
      </c>
      <c r="F28" s="4">
        <f t="shared" si="0"/>
        <v>2000000</v>
      </c>
    </row>
    <row r="29" spans="1:6" x14ac:dyDescent="0.3">
      <c r="A29" s="3" t="s">
        <v>18</v>
      </c>
      <c r="B29" s="3" t="s">
        <v>17</v>
      </c>
      <c r="C29" s="3" t="s">
        <v>15</v>
      </c>
      <c r="D29" s="3">
        <v>15</v>
      </c>
      <c r="E29" s="3">
        <v>550</v>
      </c>
      <c r="F29" s="4">
        <f t="shared" si="0"/>
        <v>8250</v>
      </c>
    </row>
    <row r="30" spans="1:6" x14ac:dyDescent="0.3">
      <c r="A30" s="3" t="s">
        <v>18</v>
      </c>
      <c r="B30" s="3" t="s">
        <v>17</v>
      </c>
      <c r="C30" s="3" t="s">
        <v>15</v>
      </c>
      <c r="D30" s="3">
        <v>15</v>
      </c>
      <c r="E30" s="3">
        <v>750</v>
      </c>
      <c r="F30" s="4">
        <f t="shared" si="0"/>
        <v>11250</v>
      </c>
    </row>
  </sheetData>
  <autoFilter ref="A1:F30" xr:uid="{6310D5EB-983F-420B-9FB4-910A9C897A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2026-01-08T11:33:50Z</dcterms:created>
  <dcterms:modified xsi:type="dcterms:W3CDTF">2026-01-08T12:10:58Z</dcterms:modified>
</cp:coreProperties>
</file>