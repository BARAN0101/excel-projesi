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e2652b707efe84/Desktop/Excel/"/>
    </mc:Choice>
  </mc:AlternateContent>
  <xr:revisionPtr revIDLastSave="0" documentId="8_{A18929C3-6BC0-4B56-A833-483CD5823D31}" xr6:coauthVersionLast="47" xr6:coauthVersionMax="47" xr10:uidLastSave="{00000000-0000-0000-0000-000000000000}"/>
  <bookViews>
    <workbookView xWindow="-108" yWindow="-108" windowWidth="23256" windowHeight="12456" activeTab="1" xr2:uid="{9F528701-2EA6-4C00-A55C-5D8F9BAC9F85}"/>
  </bookViews>
  <sheets>
    <sheet name="Sayfa1" sheetId="1" r:id="rId1"/>
    <sheet name="Sayf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F15" i="1"/>
  <c r="F16" i="1"/>
  <c r="F17" i="1"/>
  <c r="F18" i="1"/>
  <c r="F19" i="1"/>
  <c r="F14" i="1"/>
  <c r="G2" i="2"/>
  <c r="F10" i="2"/>
  <c r="F8" i="2"/>
  <c r="F7" i="2"/>
  <c r="F9" i="2"/>
  <c r="F11" i="2"/>
  <c r="F6" i="2"/>
  <c r="F5" i="2"/>
  <c r="F4" i="2"/>
  <c r="F3" i="2"/>
  <c r="F2" i="2"/>
  <c r="E11" i="2"/>
  <c r="E10" i="2"/>
  <c r="E9" i="2"/>
  <c r="E8" i="2"/>
  <c r="E7" i="2"/>
  <c r="E6" i="2"/>
  <c r="E5" i="2"/>
  <c r="E4" i="2"/>
  <c r="E3" i="2"/>
  <c r="E2" i="2"/>
  <c r="D11" i="2"/>
  <c r="D10" i="2"/>
  <c r="D9" i="2"/>
  <c r="D8" i="2"/>
  <c r="D7" i="2"/>
  <c r="D6" i="2"/>
  <c r="D5" i="2"/>
  <c r="D4" i="2"/>
  <c r="D3" i="2"/>
  <c r="D2" i="2"/>
  <c r="N2" i="1"/>
  <c r="J2" i="1"/>
</calcChain>
</file>

<file path=xl/sharedStrings.xml><?xml version="1.0" encoding="utf-8"?>
<sst xmlns="http://schemas.openxmlformats.org/spreadsheetml/2006/main" count="62" uniqueCount="23">
  <si>
    <t>Ürün Kodu</t>
  </si>
  <si>
    <t>Ürün Adı</t>
  </si>
  <si>
    <t>Ürün Fiyatı</t>
  </si>
  <si>
    <t>T100</t>
  </si>
  <si>
    <t>D200</t>
  </si>
  <si>
    <t>M150</t>
  </si>
  <si>
    <t>K300</t>
  </si>
  <si>
    <t>C230</t>
  </si>
  <si>
    <t>K150</t>
  </si>
  <si>
    <t>TV</t>
  </si>
  <si>
    <t>Dolap</t>
  </si>
  <si>
    <t>Masa</t>
  </si>
  <si>
    <t>Kasa</t>
  </si>
  <si>
    <t>Computer</t>
  </si>
  <si>
    <t>Klavye</t>
  </si>
  <si>
    <t>Firma Adı</t>
  </si>
  <si>
    <t>İskonto</t>
  </si>
  <si>
    <t>Gima</t>
  </si>
  <si>
    <t>Migros</t>
  </si>
  <si>
    <t>Carrefour</t>
  </si>
  <si>
    <t>TeknoSa</t>
  </si>
  <si>
    <t>Adeti</t>
  </si>
  <si>
    <t>Toplam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</si>
</sst>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F2BE-0D35-4F5C-90AC-76FED9E1648B}">
  <dimension ref="A1:N19"/>
  <sheetViews>
    <sheetView workbookViewId="0">
      <selection activeCell="H15" sqref="H15"/>
    </sheetView>
  </sheetViews>
  <sheetFormatPr defaultRowHeight="14.4" x14ac:dyDescent="0.3"/>
  <cols>
    <col min="1" max="1" width="9.5546875" bestFit="1" customWidth="1"/>
    <col min="3" max="3" width="9.77734375" bestFit="1" customWidth="1"/>
    <col min="5" max="5" width="9.5546875" bestFit="1" customWidth="1"/>
    <col min="9" max="9" width="9.5546875" bestFit="1" customWidth="1"/>
    <col min="10" max="10" width="14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F1" s="1" t="s">
        <v>15</v>
      </c>
      <c r="G1" s="1" t="s">
        <v>16</v>
      </c>
      <c r="I1" s="1" t="s">
        <v>0</v>
      </c>
      <c r="J1" s="1" t="s">
        <v>2</v>
      </c>
      <c r="M1" s="1" t="s">
        <v>15</v>
      </c>
      <c r="N1" s="1" t="s">
        <v>16</v>
      </c>
    </row>
    <row r="2" spans="1:14" x14ac:dyDescent="0.3">
      <c r="A2" t="s">
        <v>3</v>
      </c>
      <c r="B2" t="s">
        <v>9</v>
      </c>
      <c r="C2">
        <v>550</v>
      </c>
      <c r="F2" t="s">
        <v>17</v>
      </c>
      <c r="G2">
        <v>0.12</v>
      </c>
      <c r="I2" t="s">
        <v>8</v>
      </c>
      <c r="J2">
        <f>VLOOKUP(I2,A1:C7,3,0)</f>
        <v>20</v>
      </c>
      <c r="M2" t="s">
        <v>19</v>
      </c>
      <c r="N2">
        <f>VLOOKUP(M2,F1:G5,2,0)</f>
        <v>0.14000000000000001</v>
      </c>
    </row>
    <row r="3" spans="1:14" x14ac:dyDescent="0.3">
      <c r="A3" t="s">
        <v>4</v>
      </c>
      <c r="B3" t="s">
        <v>10</v>
      </c>
      <c r="C3">
        <v>800</v>
      </c>
      <c r="F3" t="s">
        <v>18</v>
      </c>
      <c r="G3">
        <v>0.08</v>
      </c>
    </row>
    <row r="4" spans="1:14" x14ac:dyDescent="0.3">
      <c r="A4" t="s">
        <v>5</v>
      </c>
      <c r="B4" t="s">
        <v>11</v>
      </c>
      <c r="C4">
        <v>300</v>
      </c>
      <c r="F4" t="s">
        <v>19</v>
      </c>
      <c r="G4">
        <v>0.14000000000000001</v>
      </c>
    </row>
    <row r="5" spans="1:14" x14ac:dyDescent="0.3">
      <c r="A5" t="s">
        <v>6</v>
      </c>
      <c r="B5" t="s">
        <v>12</v>
      </c>
      <c r="C5">
        <v>700</v>
      </c>
      <c r="F5" t="s">
        <v>20</v>
      </c>
      <c r="G5">
        <v>0.11</v>
      </c>
    </row>
    <row r="6" spans="1:14" x14ac:dyDescent="0.3">
      <c r="A6" t="s">
        <v>7</v>
      </c>
      <c r="B6" t="s">
        <v>13</v>
      </c>
      <c r="C6">
        <v>1300</v>
      </c>
    </row>
    <row r="7" spans="1:14" x14ac:dyDescent="0.3">
      <c r="A7" t="s">
        <v>8</v>
      </c>
      <c r="B7" t="s">
        <v>14</v>
      </c>
      <c r="C7">
        <v>20</v>
      </c>
    </row>
    <row r="13" spans="1:14" x14ac:dyDescent="0.3">
      <c r="E13" s="1" t="s">
        <v>0</v>
      </c>
      <c r="F13" s="1" t="s">
        <v>1</v>
      </c>
    </row>
    <row r="14" spans="1:14" x14ac:dyDescent="0.3">
      <c r="E14" t="s">
        <v>3</v>
      </c>
      <c r="F14" t="str">
        <f>VLOOKUP(A2,A1:C7,2,0)</f>
        <v>TV</v>
      </c>
    </row>
    <row r="15" spans="1:14" x14ac:dyDescent="0.3">
      <c r="E15" t="s">
        <v>4</v>
      </c>
      <c r="F15" t="str">
        <f t="shared" ref="F15:F19" si="0">VLOOKUP(A3,A2:C8,2,0)</f>
        <v>Dolap</v>
      </c>
    </row>
    <row r="16" spans="1:14" x14ac:dyDescent="0.3">
      <c r="E16" t="s">
        <v>5</v>
      </c>
      <c r="F16" t="str">
        <f t="shared" si="0"/>
        <v>Masa</v>
      </c>
    </row>
    <row r="17" spans="5:6" x14ac:dyDescent="0.3">
      <c r="E17" t="s">
        <v>6</v>
      </c>
      <c r="F17" t="str">
        <f t="shared" si="0"/>
        <v>Kasa</v>
      </c>
    </row>
    <row r="18" spans="5:6" x14ac:dyDescent="0.3">
      <c r="E18" t="s">
        <v>7</v>
      </c>
      <c r="F18" t="str">
        <f t="shared" si="0"/>
        <v>Computer</v>
      </c>
    </row>
    <row r="19" spans="5:6" x14ac:dyDescent="0.3">
      <c r="E19" t="s">
        <v>8</v>
      </c>
      <c r="F19" t="str">
        <f t="shared" si="0"/>
        <v>Klavye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51C8-1074-4D67-B5A2-58DA2B685D68}">
  <dimension ref="A1:G11"/>
  <sheetViews>
    <sheetView tabSelected="1" workbookViewId="0">
      <selection activeCell="H1" sqref="H1"/>
    </sheetView>
  </sheetViews>
  <sheetFormatPr defaultRowHeight="14.4" x14ac:dyDescent="0.3"/>
  <cols>
    <col min="2" max="2" width="9.5546875" bestFit="1" customWidth="1"/>
    <col min="6" max="6" width="9.77734375" bestFit="1" customWidth="1"/>
    <col min="7" max="7" width="11.88671875" bestFit="1" customWidth="1"/>
  </cols>
  <sheetData>
    <row r="1" spans="1:7" x14ac:dyDescent="0.3">
      <c r="A1" s="1" t="s">
        <v>15</v>
      </c>
      <c r="B1" s="1" t="s">
        <v>0</v>
      </c>
      <c r="C1" s="1" t="s">
        <v>21</v>
      </c>
      <c r="D1" s="1" t="s">
        <v>1</v>
      </c>
      <c r="E1" s="1" t="s">
        <v>16</v>
      </c>
      <c r="F1" s="1" t="s">
        <v>2</v>
      </c>
      <c r="G1" s="1" t="s">
        <v>22</v>
      </c>
    </row>
    <row r="2" spans="1:7" x14ac:dyDescent="0.3">
      <c r="A2" t="s">
        <v>18</v>
      </c>
      <c r="B2" t="s">
        <v>3</v>
      </c>
      <c r="C2">
        <v>20</v>
      </c>
      <c r="D2" t="str">
        <f>VLOOKUP(B2,Sayfa1!A1:C7,2,0)</f>
        <v>TV</v>
      </c>
      <c r="E2">
        <f>VLOOKUP(Sayfa2!A2,Sayfa1!F1:G5,2,0)</f>
        <v>0.08</v>
      </c>
      <c r="F2">
        <f>VLOOKUP(Sayfa2!B2,Sayfa1!A1:C7,3,0)</f>
        <v>550</v>
      </c>
      <c r="G2">
        <f>Sayfa2!F2*Sayfa2!C2</f>
        <v>11000</v>
      </c>
    </row>
    <row r="3" spans="1:7" x14ac:dyDescent="0.3">
      <c r="A3" t="s">
        <v>17</v>
      </c>
      <c r="B3" t="s">
        <v>6</v>
      </c>
      <c r="C3">
        <v>15</v>
      </c>
      <c r="D3" t="str">
        <f>VLOOKUP(B3,Sayfa1!A1:C7,2,0)</f>
        <v>Kasa</v>
      </c>
      <c r="E3">
        <f>VLOOKUP(A3,Sayfa1!F1:G5,2,0)</f>
        <v>0.12</v>
      </c>
      <c r="F3">
        <f>VLOOKUP(Sayfa2!B3,Sayfa1!A1:C7,3,0)</f>
        <v>700</v>
      </c>
      <c r="G3">
        <f>Sayfa2!F3*Sayfa2!C3</f>
        <v>10500</v>
      </c>
    </row>
    <row r="4" spans="1:7" x14ac:dyDescent="0.3">
      <c r="A4" t="s">
        <v>20</v>
      </c>
      <c r="B4" t="s">
        <v>5</v>
      </c>
      <c r="C4">
        <v>22</v>
      </c>
      <c r="D4" t="str">
        <f>VLOOKUP(Sayfa2!B4,Sayfa1!A1:C7,2,0)</f>
        <v>Masa</v>
      </c>
      <c r="E4">
        <f>VLOOKUP(A4,Sayfa1!F1:G5,2,0)</f>
        <v>0.11</v>
      </c>
      <c r="F4">
        <f>VLOOKUP(B4,Sayfa1!A1:C7,3,0)</f>
        <v>300</v>
      </c>
      <c r="G4">
        <f>Sayfa2!F4*Sayfa2!C4</f>
        <v>6600</v>
      </c>
    </row>
    <row r="5" spans="1:7" x14ac:dyDescent="0.3">
      <c r="A5" t="s">
        <v>17</v>
      </c>
      <c r="B5" t="s">
        <v>7</v>
      </c>
      <c r="C5">
        <v>15</v>
      </c>
      <c r="D5" t="str">
        <f>VLOOKUP(B5,Sayfa1!A1:C7,2,0)</f>
        <v>Computer</v>
      </c>
      <c r="E5">
        <f>VLOOKUP(A5,Sayfa1!F1:G5,2,0)</f>
        <v>0.12</v>
      </c>
      <c r="F5">
        <f>VLOOKUP(B5,Sayfa1!A2:C7,3,0)</f>
        <v>1300</v>
      </c>
      <c r="G5">
        <f>Sayfa2!F5*Sayfa2!C5</f>
        <v>19500</v>
      </c>
    </row>
    <row r="6" spans="1:7" x14ac:dyDescent="0.3">
      <c r="A6" t="s">
        <v>20</v>
      </c>
      <c r="B6" t="s">
        <v>6</v>
      </c>
      <c r="C6">
        <v>9</v>
      </c>
      <c r="D6" t="str">
        <f>VLOOKUP(B6,Sayfa1!A1:C7,2,0)</f>
        <v>Kasa</v>
      </c>
      <c r="E6">
        <f>VLOOKUP(A6,Sayfa1!F1:G5,2,0)</f>
        <v>0.11</v>
      </c>
      <c r="F6">
        <f>VLOOKUP(B6,Sayfa1!A1:C7,3,0)</f>
        <v>700</v>
      </c>
      <c r="G6">
        <f>Sayfa2!F6*Sayfa2!C6</f>
        <v>6300</v>
      </c>
    </row>
    <row r="7" spans="1:7" x14ac:dyDescent="0.3">
      <c r="A7" t="s">
        <v>19</v>
      </c>
      <c r="B7" t="s">
        <v>8</v>
      </c>
      <c r="C7">
        <v>22</v>
      </c>
      <c r="D7" t="str">
        <f>VLOOKUP(Sayfa2!B7,Sayfa1!A1:C7,2,0)</f>
        <v>Klavye</v>
      </c>
      <c r="E7">
        <f>VLOOKUP(A7,Sayfa1!F1:G5,2,0)</f>
        <v>0.14000000000000001</v>
      </c>
      <c r="F7">
        <f>VLOOKUP(Sayfa2!B7,Sayfa1!A6:C12,3,0)</f>
        <v>20</v>
      </c>
      <c r="G7">
        <f>Sayfa2!F7*Sayfa2!C7</f>
        <v>440</v>
      </c>
    </row>
    <row r="8" spans="1:7" x14ac:dyDescent="0.3">
      <c r="A8" t="s">
        <v>18</v>
      </c>
      <c r="B8" t="s">
        <v>5</v>
      </c>
      <c r="C8">
        <v>12</v>
      </c>
      <c r="D8" t="str">
        <f>VLOOKUP(B8,Sayfa1!A1:C7,2,0)</f>
        <v>Masa</v>
      </c>
      <c r="E8">
        <f>VLOOKUP(A8,Sayfa1!F1:G5,2,0)</f>
        <v>0.08</v>
      </c>
      <c r="F8">
        <f>VLOOKUP(B8,Sayfa1!A1:C7,3,0)</f>
        <v>300</v>
      </c>
      <c r="G8">
        <f>Sayfa2!F8*Sayfa2!C8</f>
        <v>3600</v>
      </c>
    </row>
    <row r="9" spans="1:7" x14ac:dyDescent="0.3">
      <c r="A9" t="s">
        <v>19</v>
      </c>
      <c r="B9" t="s">
        <v>7</v>
      </c>
      <c r="C9">
        <v>10</v>
      </c>
      <c r="D9" t="str">
        <f>VLOOKUP(B9,Sayfa1!A1:C7,2,0)</f>
        <v>Computer</v>
      </c>
      <c r="E9">
        <f>VLOOKUP(Sayfa2!A9,Sayfa1!F1:G5,2,0)</f>
        <v>0.14000000000000001</v>
      </c>
      <c r="F9">
        <f>VLOOKUP(B9,Sayfa1!A6:C12,3,0)</f>
        <v>1300</v>
      </c>
      <c r="G9">
        <f>Sayfa2!F9*Sayfa2!C9</f>
        <v>13000</v>
      </c>
    </row>
    <row r="10" spans="1:7" x14ac:dyDescent="0.3">
      <c r="A10" t="s">
        <v>17</v>
      </c>
      <c r="B10" t="s">
        <v>6</v>
      </c>
      <c r="C10">
        <v>15</v>
      </c>
      <c r="D10" t="str">
        <f>VLOOKUP(B10,Sayfa1!A1:C7,2,0)</f>
        <v>Kasa</v>
      </c>
      <c r="E10">
        <f>VLOOKUP(A10,Sayfa1!F1:G5,2,0)</f>
        <v>0.12</v>
      </c>
      <c r="F10">
        <f>VLOOKUP(B10,Sayfa1!A1:C7,3,0)</f>
        <v>700</v>
      </c>
      <c r="G10">
        <f>Sayfa2!F10*Sayfa2!C10</f>
        <v>10500</v>
      </c>
    </row>
    <row r="11" spans="1:7" x14ac:dyDescent="0.3">
      <c r="A11" t="s">
        <v>20</v>
      </c>
      <c r="B11" t="s">
        <v>7</v>
      </c>
      <c r="C11">
        <v>22</v>
      </c>
      <c r="D11" t="str">
        <f>VLOOKUP(B11,Sayfa1!A1:C7,2,0)</f>
        <v>Computer</v>
      </c>
      <c r="E11">
        <f>VLOOKUP(A11,Sayfa1!F1:G5,2,0)</f>
        <v>0.11</v>
      </c>
      <c r="F11">
        <f>VLOOKUP(B11,Sayfa1!A6:C12,3,0)</f>
        <v>1300</v>
      </c>
      <c r="G11">
        <f>Sayfa2!F11*Sayfa2!C11</f>
        <v>28600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 Mavuzer</dc:creator>
  <cp:lastModifiedBy>baran Mavuzer</cp:lastModifiedBy>
  <dcterms:created xsi:type="dcterms:W3CDTF">2026-01-11T11:06:41Z</dcterms:created>
  <dcterms:modified xsi:type="dcterms:W3CDTF">2026-01-11T12:12:45Z</dcterms:modified>
</cp:coreProperties>
</file>