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8_{D318EB69-986C-4811-8DB0-2D22ADCE4D39}" xr6:coauthVersionLast="47" xr6:coauthVersionMax="47" xr10:uidLastSave="{00000000-0000-0000-0000-000000000000}"/>
  <bookViews>
    <workbookView xWindow="-108" yWindow="-108" windowWidth="23256" windowHeight="12456" activeTab="1" xr2:uid="{431374FA-0D11-475F-A42D-234CA5C44D2D}"/>
  </bookViews>
  <sheets>
    <sheet name="Sayfa1" sheetId="1" r:id="rId1"/>
    <sheet name="Sayfa2" sheetId="2" r:id="rId2"/>
  </sheets>
  <definedNames>
    <definedName name="_xlnm._FilterDatabase" localSheetId="0" hidden="1">Sayfa1!$A$1:$H$46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2" l="1"/>
  <c r="G46" i="2"/>
  <c r="G45" i="2"/>
  <c r="G44" i="2"/>
  <c r="F43" i="2"/>
  <c r="G42" i="2"/>
  <c r="F41" i="2"/>
  <c r="G40" i="2"/>
  <c r="G39" i="2"/>
  <c r="F38" i="2"/>
  <c r="G37" i="2"/>
  <c r="G36" i="2"/>
  <c r="G35" i="2"/>
  <c r="F34" i="2"/>
  <c r="G33" i="2"/>
  <c r="G32" i="2"/>
  <c r="G31" i="2"/>
  <c r="F30" i="2"/>
  <c r="G29" i="2"/>
  <c r="G28" i="2"/>
  <c r="G27" i="2"/>
  <c r="G26" i="2"/>
  <c r="F25" i="2"/>
  <c r="G24" i="2"/>
  <c r="G23" i="2"/>
  <c r="F22" i="2"/>
  <c r="G21" i="2"/>
  <c r="F20" i="2"/>
  <c r="G19" i="2"/>
  <c r="G18" i="2"/>
  <c r="F17" i="2"/>
  <c r="G16" i="2"/>
  <c r="G15" i="2"/>
  <c r="G14" i="2"/>
  <c r="F13" i="2"/>
  <c r="G12" i="2"/>
  <c r="F11" i="2"/>
  <c r="G10" i="2"/>
  <c r="G9" i="2"/>
  <c r="G8" i="2"/>
  <c r="G7" i="2"/>
  <c r="F6" i="2"/>
  <c r="G5" i="2"/>
  <c r="F4" i="2"/>
  <c r="F48" i="2" s="1"/>
  <c r="G3" i="2"/>
  <c r="G2" i="2"/>
  <c r="F47" i="1"/>
  <c r="F43" i="1"/>
  <c r="F41" i="1"/>
  <c r="F38" i="1"/>
  <c r="F34" i="1"/>
  <c r="F30" i="1"/>
  <c r="F25" i="1"/>
  <c r="F22" i="1"/>
  <c r="F20" i="1"/>
  <c r="F17" i="1"/>
  <c r="F13" i="1"/>
  <c r="F11" i="1"/>
  <c r="F6" i="1"/>
  <c r="F4" i="1"/>
  <c r="G23" i="1"/>
  <c r="G26" i="1"/>
  <c r="G31" i="1"/>
  <c r="G28" i="1"/>
  <c r="G9" i="1"/>
  <c r="G27" i="1"/>
  <c r="G45" i="1"/>
  <c r="G3" i="1"/>
  <c r="G2" i="1"/>
  <c r="G21" i="1"/>
  <c r="G8" i="1"/>
  <c r="G10" i="1"/>
  <c r="G7" i="1"/>
  <c r="G40" i="1"/>
  <c r="G37" i="1"/>
  <c r="G5" i="1"/>
  <c r="G24" i="1"/>
  <c r="G19" i="1"/>
  <c r="G36" i="1"/>
  <c r="G15" i="1"/>
  <c r="G16" i="1"/>
  <c r="G42" i="1"/>
  <c r="G46" i="1"/>
  <c r="G33" i="1"/>
  <c r="G32" i="1"/>
  <c r="G29" i="1"/>
  <c r="G39" i="1"/>
  <c r="G18" i="1"/>
  <c r="G14" i="1"/>
  <c r="G35" i="1"/>
  <c r="G44" i="1"/>
  <c r="G12" i="1"/>
  <c r="F48" i="1" l="1"/>
</calcChain>
</file>

<file path=xl/sharedStrings.xml><?xml version="1.0" encoding="utf-8"?>
<sst xmlns="http://schemas.openxmlformats.org/spreadsheetml/2006/main" count="320" uniqueCount="64">
  <si>
    <t>AY</t>
  </si>
  <si>
    <t>ÜRÜN ADI</t>
  </si>
  <si>
    <t>MARKA</t>
  </si>
  <si>
    <t>BÖLGE</t>
  </si>
  <si>
    <t>ADET</t>
  </si>
  <si>
    <t>FİYAT</t>
  </si>
  <si>
    <t>TUTAR</t>
  </si>
  <si>
    <t>Nisan</t>
  </si>
  <si>
    <t>Eylül</t>
  </si>
  <si>
    <t>Kasım</t>
  </si>
  <si>
    <t>Mart</t>
  </si>
  <si>
    <t>Ekim</t>
  </si>
  <si>
    <t>Aralık</t>
  </si>
  <si>
    <t>Haziran</t>
  </si>
  <si>
    <t>Temmuz</t>
  </si>
  <si>
    <t>Ocak</t>
  </si>
  <si>
    <t>Ağustos</t>
  </si>
  <si>
    <t>Şubat</t>
  </si>
  <si>
    <t>Mayıs</t>
  </si>
  <si>
    <t>CD-ROM</t>
  </si>
  <si>
    <t>COMPUTER</t>
  </si>
  <si>
    <t>MONİTÖR</t>
  </si>
  <si>
    <t>MOUSE</t>
  </si>
  <si>
    <t>PRİNTER</t>
  </si>
  <si>
    <t>CREATİVE</t>
  </si>
  <si>
    <t>HP</t>
  </si>
  <si>
    <t>PACKARD BELL</t>
  </si>
  <si>
    <t>ESCORT</t>
  </si>
  <si>
    <t>DİGİTAL</t>
  </si>
  <si>
    <t>IBM</t>
  </si>
  <si>
    <t>TATUNG</t>
  </si>
  <si>
    <t>MICROSOFT</t>
  </si>
  <si>
    <t>LOGITECH</t>
  </si>
  <si>
    <t>CANON</t>
  </si>
  <si>
    <t>ANTALYA</t>
  </si>
  <si>
    <t>SAMSUN</t>
  </si>
  <si>
    <t>İZMİR</t>
  </si>
  <si>
    <t>ADANA</t>
  </si>
  <si>
    <t>ESKİŞEHİR</t>
  </si>
  <si>
    <t>ANKARA</t>
  </si>
  <si>
    <t>İSTANBUL</t>
  </si>
  <si>
    <t>MANİSA</t>
  </si>
  <si>
    <t>KONYA</t>
  </si>
  <si>
    <t>AFYON</t>
  </si>
  <si>
    <t>ISPARTA</t>
  </si>
  <si>
    <t>ERZİNCAN</t>
  </si>
  <si>
    <t>BURSA</t>
  </si>
  <si>
    <t>SAKARYA</t>
  </si>
  <si>
    <t>Tarih</t>
  </si>
  <si>
    <t>Toplam BURSA</t>
  </si>
  <si>
    <t>Toplam ADANA</t>
  </si>
  <si>
    <t>Toplam ESKİŞEHİR</t>
  </si>
  <si>
    <t>Toplam ERZİNCAN</t>
  </si>
  <si>
    <t>Toplam ANKARA</t>
  </si>
  <si>
    <t>Toplam ISPARTA</t>
  </si>
  <si>
    <t>Toplam KONYA</t>
  </si>
  <si>
    <t>Toplam SAMSUN</t>
  </si>
  <si>
    <t>Toplam AFYON</t>
  </si>
  <si>
    <t>Toplam İSTANBUL</t>
  </si>
  <si>
    <t>Toplam İZMİR</t>
  </si>
  <si>
    <t>Toplam SAKARYA</t>
  </si>
  <si>
    <t>Toplam MANİSA</t>
  </si>
  <si>
    <t>Toplam ANTALYA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</si>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</sst>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F0DC-CDF2-4990-A3E9-29764C7A2C0E}">
  <dimension ref="A1:H48"/>
  <sheetViews>
    <sheetView zoomScale="115" zoomScaleNormal="115" workbookViewId="0">
      <selection activeCell="D1" sqref="D1:F1 D4:F4 D6:F6 D11:F11 D13:F13 D17:F17 D20:F20 D22:F22 D25:F25 D30:F30 D34:F34 D38:F38 D41:F41 D43:F43 D47:F48"/>
    </sheetView>
  </sheetViews>
  <sheetFormatPr defaultRowHeight="14.4" outlineLevelRow="2" x14ac:dyDescent="0.3"/>
  <cols>
    <col min="1" max="1" width="8.77734375" customWidth="1"/>
    <col min="2" max="2" width="12.21875" customWidth="1"/>
    <col min="3" max="3" width="12.33203125" customWidth="1"/>
    <col min="4" max="4" width="10.21875" customWidth="1"/>
    <col min="5" max="5" width="8.33203125" customWidth="1"/>
    <col min="8" max="8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</row>
    <row r="2" spans="1:8" hidden="1" outlineLevel="2" x14ac:dyDescent="0.3">
      <c r="A2" s="2" t="s">
        <v>12</v>
      </c>
      <c r="B2" s="2" t="s">
        <v>19</v>
      </c>
      <c r="C2" s="2" t="s">
        <v>24</v>
      </c>
      <c r="D2" s="2" t="s">
        <v>37</v>
      </c>
      <c r="E2" s="2">
        <v>13</v>
      </c>
      <c r="F2" s="2">
        <v>800</v>
      </c>
      <c r="G2" s="2">
        <f>E2*F2</f>
        <v>10400</v>
      </c>
      <c r="H2" s="3">
        <v>45731</v>
      </c>
    </row>
    <row r="3" spans="1:8" hidden="1" outlineLevel="2" x14ac:dyDescent="0.3">
      <c r="A3" s="2" t="s">
        <v>11</v>
      </c>
      <c r="B3" s="2" t="s">
        <v>19</v>
      </c>
      <c r="C3" s="2" t="s">
        <v>24</v>
      </c>
      <c r="D3" s="2" t="s">
        <v>37</v>
      </c>
      <c r="E3" s="2">
        <v>12</v>
      </c>
      <c r="F3" s="2">
        <v>600</v>
      </c>
      <c r="G3" s="2">
        <f>E3*F3</f>
        <v>7200</v>
      </c>
      <c r="H3" s="3">
        <v>41613</v>
      </c>
    </row>
    <row r="4" spans="1:8" outlineLevel="1" collapsed="1" x14ac:dyDescent="0.3">
      <c r="A4" s="2"/>
      <c r="B4" s="2"/>
      <c r="C4" s="2"/>
      <c r="D4" s="4" t="s">
        <v>50</v>
      </c>
      <c r="E4" s="2"/>
      <c r="F4" s="2">
        <f>SUBTOTAL(9,F2:F3)</f>
        <v>1400</v>
      </c>
      <c r="G4" s="2"/>
      <c r="H4" s="3"/>
    </row>
    <row r="5" spans="1:8" hidden="1" outlineLevel="2" x14ac:dyDescent="0.3">
      <c r="A5" s="2" t="s">
        <v>13</v>
      </c>
      <c r="B5" s="2" t="s">
        <v>20</v>
      </c>
      <c r="C5" s="2" t="s">
        <v>25</v>
      </c>
      <c r="D5" s="2" t="s">
        <v>43</v>
      </c>
      <c r="E5" s="2">
        <v>3</v>
      </c>
      <c r="F5" s="2">
        <v>250</v>
      </c>
      <c r="G5" s="2">
        <f>E5*F5</f>
        <v>750</v>
      </c>
      <c r="H5" s="3">
        <v>45849</v>
      </c>
    </row>
    <row r="6" spans="1:8" outlineLevel="1" collapsed="1" x14ac:dyDescent="0.3">
      <c r="A6" s="2"/>
      <c r="B6" s="2"/>
      <c r="C6" s="2"/>
      <c r="D6" s="4" t="s">
        <v>57</v>
      </c>
      <c r="E6" s="2"/>
      <c r="F6" s="2">
        <f>SUBTOTAL(9,F5:F5)</f>
        <v>250</v>
      </c>
      <c r="G6" s="2"/>
      <c r="H6" s="3"/>
    </row>
    <row r="7" spans="1:8" hidden="1" outlineLevel="2" x14ac:dyDescent="0.3">
      <c r="A7" s="2" t="s">
        <v>13</v>
      </c>
      <c r="B7" s="2" t="s">
        <v>20</v>
      </c>
      <c r="C7" s="2" t="s">
        <v>27</v>
      </c>
      <c r="D7" s="2" t="s">
        <v>39</v>
      </c>
      <c r="E7" s="2">
        <v>7</v>
      </c>
      <c r="F7" s="2">
        <v>150</v>
      </c>
      <c r="G7" s="2">
        <f>E7*F7</f>
        <v>1050</v>
      </c>
      <c r="H7" s="3">
        <v>43319</v>
      </c>
    </row>
    <row r="8" spans="1:8" hidden="1" outlineLevel="2" x14ac:dyDescent="0.3">
      <c r="A8" s="2" t="s">
        <v>11</v>
      </c>
      <c r="B8" s="2" t="s">
        <v>20</v>
      </c>
      <c r="C8" s="2" t="s">
        <v>25</v>
      </c>
      <c r="D8" s="2" t="s">
        <v>39</v>
      </c>
      <c r="E8" s="2">
        <v>15</v>
      </c>
      <c r="F8" s="2">
        <v>500</v>
      </c>
      <c r="G8" s="2">
        <f>E8*F8</f>
        <v>7500</v>
      </c>
      <c r="H8" s="3">
        <v>45097</v>
      </c>
    </row>
    <row r="9" spans="1:8" hidden="1" outlineLevel="2" x14ac:dyDescent="0.3">
      <c r="A9" s="2" t="s">
        <v>9</v>
      </c>
      <c r="B9" s="2" t="s">
        <v>22</v>
      </c>
      <c r="C9" s="2" t="s">
        <v>31</v>
      </c>
      <c r="D9" s="2" t="s">
        <v>39</v>
      </c>
      <c r="E9" s="2">
        <v>45</v>
      </c>
      <c r="F9" s="2">
        <v>400</v>
      </c>
      <c r="G9" s="2">
        <f>E9*F9</f>
        <v>18000</v>
      </c>
      <c r="H9" s="3">
        <v>46016</v>
      </c>
    </row>
    <row r="10" spans="1:8" hidden="1" outlineLevel="2" x14ac:dyDescent="0.3">
      <c r="A10" s="2" t="s">
        <v>13</v>
      </c>
      <c r="B10" s="2" t="s">
        <v>20</v>
      </c>
      <c r="C10" s="2" t="s">
        <v>26</v>
      </c>
      <c r="D10" s="2" t="s">
        <v>39</v>
      </c>
      <c r="E10" s="2">
        <v>17</v>
      </c>
      <c r="F10" s="2">
        <v>770</v>
      </c>
      <c r="G10" s="2">
        <f>E10*F10</f>
        <v>13090</v>
      </c>
      <c r="H10" s="3">
        <v>41255</v>
      </c>
    </row>
    <row r="11" spans="1:8" outlineLevel="1" collapsed="1" x14ac:dyDescent="0.3">
      <c r="A11" s="2"/>
      <c r="B11" s="2"/>
      <c r="C11" s="2"/>
      <c r="D11" s="4" t="s">
        <v>53</v>
      </c>
      <c r="E11" s="2"/>
      <c r="F11" s="2">
        <f>SUBTOTAL(9,F7:F10)</f>
        <v>1820</v>
      </c>
      <c r="G11" s="2"/>
      <c r="H11" s="3"/>
    </row>
    <row r="12" spans="1:8" hidden="1" outlineLevel="2" x14ac:dyDescent="0.3">
      <c r="A12" s="2" t="s">
        <v>7</v>
      </c>
      <c r="B12" s="2" t="s">
        <v>19</v>
      </c>
      <c r="C12" s="2" t="s">
        <v>24</v>
      </c>
      <c r="D12" s="2" t="s">
        <v>34</v>
      </c>
      <c r="E12" s="2">
        <v>6</v>
      </c>
      <c r="F12" s="2">
        <v>400</v>
      </c>
      <c r="G12" s="2">
        <f>E12*F12</f>
        <v>2400</v>
      </c>
      <c r="H12" s="3">
        <v>45824</v>
      </c>
    </row>
    <row r="13" spans="1:8" outlineLevel="1" collapsed="1" x14ac:dyDescent="0.3">
      <c r="A13" s="2"/>
      <c r="B13" s="2"/>
      <c r="C13" s="2"/>
      <c r="D13" s="4" t="s">
        <v>62</v>
      </c>
      <c r="E13" s="2"/>
      <c r="F13" s="2">
        <f>SUBTOTAL(9,F12:F12)</f>
        <v>400</v>
      </c>
      <c r="G13" s="2"/>
      <c r="H13" s="3"/>
    </row>
    <row r="14" spans="1:8" hidden="1" outlineLevel="2" x14ac:dyDescent="0.3">
      <c r="A14" s="2" t="s">
        <v>11</v>
      </c>
      <c r="B14" s="2" t="s">
        <v>23</v>
      </c>
      <c r="C14" s="2" t="s">
        <v>33</v>
      </c>
      <c r="D14" s="2" t="s">
        <v>46</v>
      </c>
      <c r="E14" s="2">
        <v>90</v>
      </c>
      <c r="F14" s="2">
        <v>900</v>
      </c>
      <c r="G14" s="2">
        <f>E14*F14</f>
        <v>81000</v>
      </c>
      <c r="H14" s="3">
        <v>45621</v>
      </c>
    </row>
    <row r="15" spans="1:8" hidden="1" outlineLevel="2" x14ac:dyDescent="0.3">
      <c r="A15" s="2" t="s">
        <v>16</v>
      </c>
      <c r="B15" s="2" t="s">
        <v>21</v>
      </c>
      <c r="C15" s="2" t="s">
        <v>29</v>
      </c>
      <c r="D15" s="2" t="s">
        <v>46</v>
      </c>
      <c r="E15" s="2">
        <v>15</v>
      </c>
      <c r="F15" s="2">
        <v>175</v>
      </c>
      <c r="G15" s="2">
        <f>E15*F15</f>
        <v>2625</v>
      </c>
      <c r="H15" s="3">
        <v>44185</v>
      </c>
    </row>
    <row r="16" spans="1:8" hidden="1" outlineLevel="2" x14ac:dyDescent="0.3">
      <c r="A16" s="2" t="s">
        <v>15</v>
      </c>
      <c r="B16" s="2" t="s">
        <v>21</v>
      </c>
      <c r="C16" s="2" t="s">
        <v>31</v>
      </c>
      <c r="D16" s="2" t="s">
        <v>46</v>
      </c>
      <c r="E16" s="2">
        <v>19</v>
      </c>
      <c r="F16" s="2">
        <v>680</v>
      </c>
      <c r="G16" s="2">
        <f>E16*F16</f>
        <v>12920</v>
      </c>
      <c r="H16" s="3">
        <v>44323</v>
      </c>
    </row>
    <row r="17" spans="1:8" outlineLevel="1" collapsed="1" x14ac:dyDescent="0.3">
      <c r="A17" s="2"/>
      <c r="B17" s="2"/>
      <c r="C17" s="2"/>
      <c r="D17" s="4" t="s">
        <v>49</v>
      </c>
      <c r="E17" s="2"/>
      <c r="F17" s="2">
        <f>SUBTOTAL(9,F14:F16)</f>
        <v>1755</v>
      </c>
      <c r="G17" s="2"/>
      <c r="H17" s="3"/>
    </row>
    <row r="18" spans="1:8" hidden="1" outlineLevel="2" x14ac:dyDescent="0.3">
      <c r="A18" s="2" t="s">
        <v>12</v>
      </c>
      <c r="B18" s="2" t="s">
        <v>23</v>
      </c>
      <c r="C18" s="2" t="s">
        <v>33</v>
      </c>
      <c r="D18" s="2" t="s">
        <v>45</v>
      </c>
      <c r="E18" s="2">
        <v>60</v>
      </c>
      <c r="F18" s="2">
        <v>650</v>
      </c>
      <c r="G18" s="2">
        <f>E18*F18</f>
        <v>39000</v>
      </c>
      <c r="H18" s="3">
        <v>43716</v>
      </c>
    </row>
    <row r="19" spans="1:8" hidden="1" outlineLevel="2" x14ac:dyDescent="0.3">
      <c r="A19" s="2" t="s">
        <v>15</v>
      </c>
      <c r="B19" s="2" t="s">
        <v>21</v>
      </c>
      <c r="C19" s="2" t="s">
        <v>25</v>
      </c>
      <c r="D19" s="2" t="s">
        <v>45</v>
      </c>
      <c r="E19" s="2">
        <v>6</v>
      </c>
      <c r="F19" s="2">
        <v>590</v>
      </c>
      <c r="G19" s="2">
        <f>E19*F19</f>
        <v>3540</v>
      </c>
      <c r="H19" s="3">
        <v>44551</v>
      </c>
    </row>
    <row r="20" spans="1:8" outlineLevel="1" collapsed="1" x14ac:dyDescent="0.3">
      <c r="A20" s="2"/>
      <c r="B20" s="2"/>
      <c r="C20" s="2"/>
      <c r="D20" s="4" t="s">
        <v>52</v>
      </c>
      <c r="E20" s="2"/>
      <c r="F20" s="2">
        <f>SUBTOTAL(9,F18:F19)</f>
        <v>1240</v>
      </c>
      <c r="G20" s="2"/>
      <c r="H20" s="3"/>
    </row>
    <row r="21" spans="1:8" hidden="1" outlineLevel="2" x14ac:dyDescent="0.3">
      <c r="A21" s="2" t="s">
        <v>12</v>
      </c>
      <c r="B21" s="2" t="s">
        <v>19</v>
      </c>
      <c r="C21" s="2" t="s">
        <v>24</v>
      </c>
      <c r="D21" s="2" t="s">
        <v>38</v>
      </c>
      <c r="E21" s="2">
        <v>8</v>
      </c>
      <c r="F21" s="2">
        <v>125</v>
      </c>
      <c r="G21" s="2">
        <f>E21*F21</f>
        <v>1000</v>
      </c>
      <c r="H21" s="3">
        <v>44393</v>
      </c>
    </row>
    <row r="22" spans="1:8" outlineLevel="1" collapsed="1" x14ac:dyDescent="0.3">
      <c r="A22" s="2"/>
      <c r="B22" s="2"/>
      <c r="C22" s="2"/>
      <c r="D22" s="4" t="s">
        <v>51</v>
      </c>
      <c r="E22" s="2"/>
      <c r="F22" s="2">
        <f>SUBTOTAL(9,F21:F21)</f>
        <v>125</v>
      </c>
      <c r="G22" s="2"/>
      <c r="H22" s="3"/>
    </row>
    <row r="23" spans="1:8" hidden="1" outlineLevel="2" x14ac:dyDescent="0.3">
      <c r="A23" s="2" t="s">
        <v>10</v>
      </c>
      <c r="B23" s="2" t="s">
        <v>21</v>
      </c>
      <c r="C23" s="2" t="s">
        <v>28</v>
      </c>
      <c r="D23" s="2" t="s">
        <v>44</v>
      </c>
      <c r="E23" s="2">
        <v>7</v>
      </c>
      <c r="F23" s="2">
        <v>630</v>
      </c>
      <c r="G23" s="2">
        <f>E23*F23</f>
        <v>4410</v>
      </c>
      <c r="H23" s="3">
        <v>45011</v>
      </c>
    </row>
    <row r="24" spans="1:8" hidden="1" outlineLevel="2" x14ac:dyDescent="0.3">
      <c r="A24" s="2" t="s">
        <v>11</v>
      </c>
      <c r="B24" s="2" t="s">
        <v>20</v>
      </c>
      <c r="C24" s="2" t="s">
        <v>29</v>
      </c>
      <c r="D24" s="2" t="s">
        <v>44</v>
      </c>
      <c r="E24" s="2">
        <v>6</v>
      </c>
      <c r="F24" s="2">
        <v>225</v>
      </c>
      <c r="G24" s="2">
        <f>E24*F24</f>
        <v>1350</v>
      </c>
      <c r="H24" s="3">
        <v>43958</v>
      </c>
    </row>
    <row r="25" spans="1:8" outlineLevel="1" collapsed="1" x14ac:dyDescent="0.3">
      <c r="A25" s="2"/>
      <c r="B25" s="2"/>
      <c r="C25" s="2"/>
      <c r="D25" s="4" t="s">
        <v>54</v>
      </c>
      <c r="E25" s="2"/>
      <c r="F25" s="2">
        <f>SUBTOTAL(9,F23:F24)</f>
        <v>855</v>
      </c>
      <c r="G25" s="2"/>
      <c r="H25" s="3"/>
    </row>
    <row r="26" spans="1:8" hidden="1" outlineLevel="2" x14ac:dyDescent="0.3">
      <c r="A26" s="2" t="s">
        <v>10</v>
      </c>
      <c r="B26" s="2" t="s">
        <v>20</v>
      </c>
      <c r="C26" s="2" t="s">
        <v>28</v>
      </c>
      <c r="D26" s="2" t="s">
        <v>40</v>
      </c>
      <c r="E26" s="2">
        <v>24</v>
      </c>
      <c r="F26" s="2">
        <v>1000</v>
      </c>
      <c r="G26" s="2">
        <f>E26*F26</f>
        <v>24000</v>
      </c>
      <c r="H26" s="3">
        <v>45528</v>
      </c>
    </row>
    <row r="27" spans="1:8" hidden="1" outlineLevel="2" x14ac:dyDescent="0.3">
      <c r="A27" s="2" t="s">
        <v>9</v>
      </c>
      <c r="B27" s="2" t="s">
        <v>20</v>
      </c>
      <c r="C27" s="2" t="s">
        <v>29</v>
      </c>
      <c r="D27" s="2" t="s">
        <v>40</v>
      </c>
      <c r="E27" s="2">
        <v>25</v>
      </c>
      <c r="F27" s="2">
        <v>1100</v>
      </c>
      <c r="G27" s="2">
        <f>E27*F27</f>
        <v>27500</v>
      </c>
      <c r="H27" s="3">
        <v>44900</v>
      </c>
    </row>
    <row r="28" spans="1:8" hidden="1" outlineLevel="2" x14ac:dyDescent="0.3">
      <c r="A28" s="2" t="s">
        <v>9</v>
      </c>
      <c r="B28" s="2" t="s">
        <v>23</v>
      </c>
      <c r="C28" s="2" t="s">
        <v>32</v>
      </c>
      <c r="D28" s="2" t="s">
        <v>40</v>
      </c>
      <c r="E28" s="2">
        <v>53</v>
      </c>
      <c r="F28" s="2">
        <v>5000</v>
      </c>
      <c r="G28" s="2">
        <f>E28*F28</f>
        <v>265000</v>
      </c>
      <c r="H28" s="3">
        <v>44758</v>
      </c>
    </row>
    <row r="29" spans="1:8" hidden="1" outlineLevel="2" x14ac:dyDescent="0.3">
      <c r="A29" s="2" t="s">
        <v>7</v>
      </c>
      <c r="B29" s="2" t="s">
        <v>22</v>
      </c>
      <c r="C29" s="2" t="s">
        <v>32</v>
      </c>
      <c r="D29" s="2" t="s">
        <v>40</v>
      </c>
      <c r="E29" s="2">
        <v>37</v>
      </c>
      <c r="F29" s="2">
        <v>635</v>
      </c>
      <c r="G29" s="2">
        <f>E29*F29</f>
        <v>23495</v>
      </c>
      <c r="H29" s="3">
        <v>44291</v>
      </c>
    </row>
    <row r="30" spans="1:8" outlineLevel="1" collapsed="1" x14ac:dyDescent="0.3">
      <c r="A30" s="2"/>
      <c r="B30" s="2"/>
      <c r="C30" s="2"/>
      <c r="D30" s="4" t="s">
        <v>58</v>
      </c>
      <c r="E30" s="2"/>
      <c r="F30" s="2">
        <f>SUBTOTAL(9,F26:F29)</f>
        <v>7735</v>
      </c>
      <c r="G30" s="2"/>
      <c r="H30" s="3"/>
    </row>
    <row r="31" spans="1:8" hidden="1" outlineLevel="2" x14ac:dyDescent="0.3">
      <c r="A31" s="2" t="s">
        <v>10</v>
      </c>
      <c r="B31" s="2" t="s">
        <v>19</v>
      </c>
      <c r="C31" s="2" t="s">
        <v>24</v>
      </c>
      <c r="D31" s="2" t="s">
        <v>36</v>
      </c>
      <c r="E31" s="2">
        <v>5</v>
      </c>
      <c r="F31" s="2">
        <v>200</v>
      </c>
      <c r="G31" s="2">
        <f>E31*F31</f>
        <v>1000</v>
      </c>
      <c r="H31" s="3">
        <v>45588</v>
      </c>
    </row>
    <row r="32" spans="1:8" hidden="1" outlineLevel="2" x14ac:dyDescent="0.3">
      <c r="A32" s="2" t="s">
        <v>15</v>
      </c>
      <c r="B32" s="2" t="s">
        <v>22</v>
      </c>
      <c r="C32" s="2" t="s">
        <v>29</v>
      </c>
      <c r="D32" s="2" t="s">
        <v>36</v>
      </c>
      <c r="E32" s="2">
        <v>90</v>
      </c>
      <c r="F32" s="2">
        <v>880</v>
      </c>
      <c r="G32" s="2">
        <f>E32*F32</f>
        <v>79200</v>
      </c>
      <c r="H32" s="3">
        <v>45157</v>
      </c>
    </row>
    <row r="33" spans="1:8" hidden="1" outlineLevel="2" x14ac:dyDescent="0.3">
      <c r="A33" s="2" t="s">
        <v>15</v>
      </c>
      <c r="B33" s="2" t="s">
        <v>22</v>
      </c>
      <c r="C33" s="2" t="s">
        <v>32</v>
      </c>
      <c r="D33" s="2" t="s">
        <v>36</v>
      </c>
      <c r="E33" s="2">
        <v>45</v>
      </c>
      <c r="F33" s="2">
        <v>650</v>
      </c>
      <c r="G33" s="2">
        <f>E33*F33</f>
        <v>29250</v>
      </c>
      <c r="H33" s="3">
        <v>44349</v>
      </c>
    </row>
    <row r="34" spans="1:8" outlineLevel="1" collapsed="1" x14ac:dyDescent="0.3">
      <c r="A34" s="2"/>
      <c r="B34" s="2"/>
      <c r="C34" s="2"/>
      <c r="D34" s="4" t="s">
        <v>59</v>
      </c>
      <c r="E34" s="2"/>
      <c r="F34" s="2">
        <f>SUBTOTAL(9,F31:F33)</f>
        <v>1730</v>
      </c>
      <c r="G34" s="2"/>
      <c r="H34" s="3"/>
    </row>
    <row r="35" spans="1:8" hidden="1" outlineLevel="2" x14ac:dyDescent="0.3">
      <c r="A35" s="2" t="s">
        <v>15</v>
      </c>
      <c r="B35" s="2" t="s">
        <v>23</v>
      </c>
      <c r="C35" s="2" t="s">
        <v>25</v>
      </c>
      <c r="D35" s="2" t="s">
        <v>42</v>
      </c>
      <c r="E35" s="2">
        <v>45</v>
      </c>
      <c r="F35" s="2">
        <v>550</v>
      </c>
      <c r="G35" s="2">
        <f>E35*F35</f>
        <v>24750</v>
      </c>
      <c r="H35" s="3">
        <v>42586</v>
      </c>
    </row>
    <row r="36" spans="1:8" hidden="1" outlineLevel="2" x14ac:dyDescent="0.3">
      <c r="A36" s="2" t="s">
        <v>13</v>
      </c>
      <c r="B36" s="2" t="s">
        <v>21</v>
      </c>
      <c r="C36" s="2" t="s">
        <v>26</v>
      </c>
      <c r="D36" s="2" t="s">
        <v>42</v>
      </c>
      <c r="E36" s="2">
        <v>9</v>
      </c>
      <c r="F36" s="2">
        <v>900</v>
      </c>
      <c r="G36" s="2">
        <f>E36*F36</f>
        <v>8100</v>
      </c>
      <c r="H36" s="3">
        <v>45243</v>
      </c>
    </row>
    <row r="37" spans="1:8" hidden="1" outlineLevel="2" x14ac:dyDescent="0.3">
      <c r="A37" s="2" t="s">
        <v>11</v>
      </c>
      <c r="B37" s="2" t="s">
        <v>20</v>
      </c>
      <c r="C37" s="2" t="s">
        <v>30</v>
      </c>
      <c r="D37" s="2" t="s">
        <v>42</v>
      </c>
      <c r="E37" s="2">
        <v>37</v>
      </c>
      <c r="F37" s="2">
        <v>700</v>
      </c>
      <c r="G37" s="2">
        <f>E37*F37</f>
        <v>25900</v>
      </c>
      <c r="H37" s="3">
        <v>44591</v>
      </c>
    </row>
    <row r="38" spans="1:8" outlineLevel="1" collapsed="1" x14ac:dyDescent="0.3">
      <c r="A38" s="2"/>
      <c r="B38" s="2"/>
      <c r="C38" s="2"/>
      <c r="D38" s="4" t="s">
        <v>55</v>
      </c>
      <c r="E38" s="2"/>
      <c r="F38" s="2">
        <f>SUBTOTAL(9,F35:F37)</f>
        <v>2150</v>
      </c>
      <c r="G38" s="2"/>
      <c r="H38" s="3"/>
    </row>
    <row r="39" spans="1:8" hidden="1" outlineLevel="2" x14ac:dyDescent="0.3">
      <c r="A39" s="2" t="s">
        <v>18</v>
      </c>
      <c r="B39" s="2" t="s">
        <v>23</v>
      </c>
      <c r="C39" s="2" t="s">
        <v>31</v>
      </c>
      <c r="D39" s="2" t="s">
        <v>41</v>
      </c>
      <c r="E39" s="2">
        <v>30</v>
      </c>
      <c r="F39" s="2">
        <v>780</v>
      </c>
      <c r="G39" s="2">
        <f>E39*F39</f>
        <v>23400</v>
      </c>
      <c r="H39" s="3">
        <v>43696</v>
      </c>
    </row>
    <row r="40" spans="1:8" hidden="1" outlineLevel="2" x14ac:dyDescent="0.3">
      <c r="A40" s="2" t="s">
        <v>14</v>
      </c>
      <c r="B40" s="2" t="s">
        <v>20</v>
      </c>
      <c r="C40" s="2" t="s">
        <v>30</v>
      </c>
      <c r="D40" s="2" t="s">
        <v>41</v>
      </c>
      <c r="E40" s="2">
        <v>29</v>
      </c>
      <c r="F40" s="2">
        <v>690</v>
      </c>
      <c r="G40" s="2">
        <f>E40*F40</f>
        <v>20010</v>
      </c>
      <c r="H40" s="3">
        <v>41311</v>
      </c>
    </row>
    <row r="41" spans="1:8" outlineLevel="1" collapsed="1" x14ac:dyDescent="0.3">
      <c r="A41" s="2"/>
      <c r="B41" s="2"/>
      <c r="C41" s="2"/>
      <c r="D41" s="4" t="s">
        <v>61</v>
      </c>
      <c r="E41" s="2"/>
      <c r="F41" s="2">
        <f>SUBTOTAL(9,F39:F40)</f>
        <v>1470</v>
      </c>
      <c r="G41" s="2"/>
      <c r="H41" s="3"/>
    </row>
    <row r="42" spans="1:8" hidden="1" outlineLevel="2" x14ac:dyDescent="0.3">
      <c r="A42" s="2" t="s">
        <v>10</v>
      </c>
      <c r="B42" s="2" t="s">
        <v>21</v>
      </c>
      <c r="C42" s="2" t="s">
        <v>31</v>
      </c>
      <c r="D42" s="2" t="s">
        <v>47</v>
      </c>
      <c r="E42" s="2">
        <v>25</v>
      </c>
      <c r="F42" s="2">
        <v>2500</v>
      </c>
      <c r="G42" s="2">
        <f>E42*F42</f>
        <v>62500</v>
      </c>
      <c r="H42" s="3">
        <v>44340</v>
      </c>
    </row>
    <row r="43" spans="1:8" outlineLevel="1" collapsed="1" x14ac:dyDescent="0.3">
      <c r="A43" s="2"/>
      <c r="B43" s="2"/>
      <c r="C43" s="2"/>
      <c r="D43" s="4" t="s">
        <v>60</v>
      </c>
      <c r="E43" s="2"/>
      <c r="F43" s="2">
        <f>SUBTOTAL(9,F42:F42)</f>
        <v>2500</v>
      </c>
      <c r="G43" s="2"/>
      <c r="H43" s="3"/>
    </row>
    <row r="44" spans="1:8" hidden="1" outlineLevel="2" x14ac:dyDescent="0.3">
      <c r="A44" s="2" t="s">
        <v>8</v>
      </c>
      <c r="B44" s="2" t="s">
        <v>19</v>
      </c>
      <c r="C44" s="2" t="s">
        <v>24</v>
      </c>
      <c r="D44" s="2" t="s">
        <v>35</v>
      </c>
      <c r="E44" s="2">
        <v>8</v>
      </c>
      <c r="F44" s="2">
        <v>500</v>
      </c>
      <c r="G44" s="2">
        <f>E44*F44</f>
        <v>4000</v>
      </c>
      <c r="H44" s="3">
        <v>43443</v>
      </c>
    </row>
    <row r="45" spans="1:8" hidden="1" outlineLevel="2" x14ac:dyDescent="0.3">
      <c r="A45" s="2" t="s">
        <v>9</v>
      </c>
      <c r="B45" s="2" t="s">
        <v>19</v>
      </c>
      <c r="C45" s="2" t="s">
        <v>24</v>
      </c>
      <c r="D45" s="2" t="s">
        <v>35</v>
      </c>
      <c r="E45" s="2">
        <v>10</v>
      </c>
      <c r="F45" s="2">
        <v>300</v>
      </c>
      <c r="G45" s="2">
        <f>E45*F45</f>
        <v>3000</v>
      </c>
      <c r="H45" s="3">
        <v>45520</v>
      </c>
    </row>
    <row r="46" spans="1:8" hidden="1" outlineLevel="2" x14ac:dyDescent="0.3">
      <c r="A46" s="2" t="s">
        <v>17</v>
      </c>
      <c r="B46" s="2" t="s">
        <v>22</v>
      </c>
      <c r="C46" s="2" t="s">
        <v>32</v>
      </c>
      <c r="D46" s="2" t="s">
        <v>35</v>
      </c>
      <c r="E46" s="2">
        <v>33</v>
      </c>
      <c r="F46" s="2">
        <v>3000</v>
      </c>
      <c r="G46" s="2">
        <f>E46*F46</f>
        <v>99000</v>
      </c>
      <c r="H46" s="3">
        <v>45999</v>
      </c>
    </row>
    <row r="47" spans="1:8" outlineLevel="1" collapsed="1" x14ac:dyDescent="0.3">
      <c r="A47" s="5"/>
      <c r="B47" s="5"/>
      <c r="C47" s="5"/>
      <c r="D47" s="7" t="s">
        <v>56</v>
      </c>
      <c r="E47" s="5"/>
      <c r="F47" s="5">
        <f>SUBTOTAL(9,F44:F46)</f>
        <v>3800</v>
      </c>
      <c r="G47" s="5"/>
      <c r="H47" s="6"/>
    </row>
    <row r="48" spans="1:8" x14ac:dyDescent="0.3">
      <c r="A48" s="5"/>
      <c r="B48" s="5"/>
      <c r="C48" s="5"/>
      <c r="D48" s="7" t="s">
        <v>63</v>
      </c>
      <c r="E48" s="5"/>
      <c r="F48" s="5">
        <f>SUBTOTAL(9,F2:F46)</f>
        <v>27230</v>
      </c>
      <c r="G48" s="5"/>
      <c r="H48" s="6"/>
    </row>
  </sheetData>
  <autoFilter ref="A1:H46" xr:uid="{379EF0DC-CDF2-4990-A3E9-29764C7A2C0E}">
    <sortState xmlns:xlrd2="http://schemas.microsoft.com/office/spreadsheetml/2017/richdata2" ref="A2:H46">
      <sortCondition ref="D1:D46"/>
    </sortState>
  </autoFilter>
  <sortState xmlns:xlrd2="http://schemas.microsoft.com/office/spreadsheetml/2017/richdata2" ref="A2:G46">
    <sortCondition ref="A2:A46"/>
    <sortCondition ref="B2:B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620D-AEEB-4CCA-B55A-45E1FFAA7BBD}">
  <dimension ref="A1:O48"/>
  <sheetViews>
    <sheetView tabSelected="1" workbookViewId="0">
      <selection activeCell="Q8" sqref="Q8"/>
    </sheetView>
  </sheetViews>
  <sheetFormatPr defaultRowHeight="14.4" x14ac:dyDescent="0.3"/>
  <cols>
    <col min="8" max="8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  <c r="M1" s="1" t="s">
        <v>3</v>
      </c>
      <c r="N1" s="1" t="s">
        <v>4</v>
      </c>
      <c r="O1" s="1" t="s">
        <v>5</v>
      </c>
    </row>
    <row r="2" spans="1:15" x14ac:dyDescent="0.3">
      <c r="A2" s="2" t="s">
        <v>12</v>
      </c>
      <c r="B2" s="2" t="s">
        <v>19</v>
      </c>
      <c r="C2" s="2" t="s">
        <v>24</v>
      </c>
      <c r="D2" s="2" t="s">
        <v>37</v>
      </c>
      <c r="E2" s="2">
        <v>13</v>
      </c>
      <c r="F2" s="2">
        <v>800</v>
      </c>
      <c r="G2" s="2">
        <f>E2*F2</f>
        <v>10400</v>
      </c>
      <c r="H2" s="3">
        <v>45731</v>
      </c>
      <c r="M2" s="4" t="s">
        <v>50</v>
      </c>
      <c r="N2" s="2"/>
      <c r="O2" s="2">
        <v>1400</v>
      </c>
    </row>
    <row r="3" spans="1:15" x14ac:dyDescent="0.3">
      <c r="A3" s="2" t="s">
        <v>11</v>
      </c>
      <c r="B3" s="2" t="s">
        <v>19</v>
      </c>
      <c r="C3" s="2" t="s">
        <v>24</v>
      </c>
      <c r="D3" s="2" t="s">
        <v>37</v>
      </c>
      <c r="E3" s="2">
        <v>12</v>
      </c>
      <c r="F3" s="2">
        <v>600</v>
      </c>
      <c r="G3" s="2">
        <f>E3*F3</f>
        <v>7200</v>
      </c>
      <c r="H3" s="3">
        <v>41613</v>
      </c>
      <c r="M3" s="4" t="s">
        <v>57</v>
      </c>
      <c r="N3" s="2"/>
      <c r="O3" s="2">
        <v>250</v>
      </c>
    </row>
    <row r="4" spans="1:15" x14ac:dyDescent="0.3">
      <c r="A4" s="2"/>
      <c r="B4" s="2"/>
      <c r="C4" s="2"/>
      <c r="D4" s="4" t="s">
        <v>50</v>
      </c>
      <c r="E4" s="2"/>
      <c r="F4" s="2">
        <f>SUBTOTAL(9,F2:F3)</f>
        <v>1400</v>
      </c>
      <c r="G4" s="2"/>
      <c r="H4" s="3"/>
      <c r="M4" s="4" t="s">
        <v>53</v>
      </c>
      <c r="N4" s="2"/>
      <c r="O4" s="2">
        <v>1820</v>
      </c>
    </row>
    <row r="5" spans="1:15" x14ac:dyDescent="0.3">
      <c r="A5" s="2" t="s">
        <v>13</v>
      </c>
      <c r="B5" s="2" t="s">
        <v>20</v>
      </c>
      <c r="C5" s="2" t="s">
        <v>25</v>
      </c>
      <c r="D5" s="2" t="s">
        <v>43</v>
      </c>
      <c r="E5" s="2">
        <v>3</v>
      </c>
      <c r="F5" s="2">
        <v>250</v>
      </c>
      <c r="G5" s="2">
        <f>E5*F5</f>
        <v>750</v>
      </c>
      <c r="H5" s="3">
        <v>45849</v>
      </c>
      <c r="M5" s="4" t="s">
        <v>62</v>
      </c>
      <c r="N5" s="2"/>
      <c r="O5" s="2">
        <v>400</v>
      </c>
    </row>
    <row r="6" spans="1:15" x14ac:dyDescent="0.3">
      <c r="A6" s="2"/>
      <c r="B6" s="2"/>
      <c r="C6" s="2"/>
      <c r="D6" s="4" t="s">
        <v>57</v>
      </c>
      <c r="E6" s="2"/>
      <c r="F6" s="2">
        <f>SUBTOTAL(9,F5:F5)</f>
        <v>250</v>
      </c>
      <c r="G6" s="2"/>
      <c r="H6" s="3"/>
      <c r="M6" s="4" t="s">
        <v>49</v>
      </c>
      <c r="N6" s="2"/>
      <c r="O6" s="2">
        <v>1755</v>
      </c>
    </row>
    <row r="7" spans="1:15" x14ac:dyDescent="0.3">
      <c r="A7" s="2" t="s">
        <v>13</v>
      </c>
      <c r="B7" s="2" t="s">
        <v>20</v>
      </c>
      <c r="C7" s="2" t="s">
        <v>27</v>
      </c>
      <c r="D7" s="2" t="s">
        <v>39</v>
      </c>
      <c r="E7" s="2">
        <v>7</v>
      </c>
      <c r="F7" s="2">
        <v>150</v>
      </c>
      <c r="G7" s="2">
        <f>E7*F7</f>
        <v>1050</v>
      </c>
      <c r="H7" s="3">
        <v>43319</v>
      </c>
      <c r="M7" s="4" t="s">
        <v>52</v>
      </c>
      <c r="N7" s="2"/>
      <c r="O7" s="2">
        <v>1240</v>
      </c>
    </row>
    <row r="8" spans="1:15" x14ac:dyDescent="0.3">
      <c r="A8" s="2" t="s">
        <v>11</v>
      </c>
      <c r="B8" s="2" t="s">
        <v>20</v>
      </c>
      <c r="C8" s="2" t="s">
        <v>25</v>
      </c>
      <c r="D8" s="2" t="s">
        <v>39</v>
      </c>
      <c r="E8" s="2">
        <v>15</v>
      </c>
      <c r="F8" s="2">
        <v>500</v>
      </c>
      <c r="G8" s="2">
        <f>E8*F8</f>
        <v>7500</v>
      </c>
      <c r="H8" s="3">
        <v>45097</v>
      </c>
      <c r="M8" s="4" t="s">
        <v>51</v>
      </c>
      <c r="N8" s="2"/>
      <c r="O8" s="2">
        <v>125</v>
      </c>
    </row>
    <row r="9" spans="1:15" x14ac:dyDescent="0.3">
      <c r="A9" s="2" t="s">
        <v>9</v>
      </c>
      <c r="B9" s="2" t="s">
        <v>22</v>
      </c>
      <c r="C9" s="2" t="s">
        <v>31</v>
      </c>
      <c r="D9" s="2" t="s">
        <v>39</v>
      </c>
      <c r="E9" s="2">
        <v>45</v>
      </c>
      <c r="F9" s="2">
        <v>400</v>
      </c>
      <c r="G9" s="2">
        <f>E9*F9</f>
        <v>18000</v>
      </c>
      <c r="H9" s="3">
        <v>46016</v>
      </c>
      <c r="M9" s="4" t="s">
        <v>54</v>
      </c>
      <c r="N9" s="2"/>
      <c r="O9" s="2">
        <v>855</v>
      </c>
    </row>
    <row r="10" spans="1:15" x14ac:dyDescent="0.3">
      <c r="A10" s="2" t="s">
        <v>13</v>
      </c>
      <c r="B10" s="2" t="s">
        <v>20</v>
      </c>
      <c r="C10" s="2" t="s">
        <v>26</v>
      </c>
      <c r="D10" s="2" t="s">
        <v>39</v>
      </c>
      <c r="E10" s="2">
        <v>17</v>
      </c>
      <c r="F10" s="2">
        <v>770</v>
      </c>
      <c r="G10" s="2">
        <f>E10*F10</f>
        <v>13090</v>
      </c>
      <c r="H10" s="3">
        <v>41255</v>
      </c>
      <c r="M10" s="4" t="s">
        <v>58</v>
      </c>
      <c r="N10" s="2"/>
      <c r="O10" s="2">
        <v>7735</v>
      </c>
    </row>
    <row r="11" spans="1:15" x14ac:dyDescent="0.3">
      <c r="A11" s="2"/>
      <c r="B11" s="2"/>
      <c r="C11" s="2"/>
      <c r="D11" s="4" t="s">
        <v>53</v>
      </c>
      <c r="E11" s="2"/>
      <c r="F11" s="2">
        <f>SUBTOTAL(9,F7:F10)</f>
        <v>1820</v>
      </c>
      <c r="G11" s="2"/>
      <c r="H11" s="3"/>
      <c r="M11" s="4" t="s">
        <v>59</v>
      </c>
      <c r="N11" s="2"/>
      <c r="O11" s="2">
        <v>1730</v>
      </c>
    </row>
    <row r="12" spans="1:15" x14ac:dyDescent="0.3">
      <c r="A12" s="2" t="s">
        <v>7</v>
      </c>
      <c r="B12" s="2" t="s">
        <v>19</v>
      </c>
      <c r="C12" s="2" t="s">
        <v>24</v>
      </c>
      <c r="D12" s="2" t="s">
        <v>34</v>
      </c>
      <c r="E12" s="2">
        <v>6</v>
      </c>
      <c r="F12" s="2">
        <v>400</v>
      </c>
      <c r="G12" s="2">
        <f>E12*F12</f>
        <v>2400</v>
      </c>
      <c r="H12" s="3">
        <v>45824</v>
      </c>
      <c r="M12" s="4" t="s">
        <v>55</v>
      </c>
      <c r="N12" s="2"/>
      <c r="O12" s="2">
        <v>2150</v>
      </c>
    </row>
    <row r="13" spans="1:15" x14ac:dyDescent="0.3">
      <c r="A13" s="2"/>
      <c r="B13" s="2"/>
      <c r="C13" s="2"/>
      <c r="D13" s="4" t="s">
        <v>62</v>
      </c>
      <c r="E13" s="2"/>
      <c r="F13" s="2">
        <f>SUBTOTAL(9,F12:F12)</f>
        <v>400</v>
      </c>
      <c r="G13" s="2"/>
      <c r="H13" s="3"/>
      <c r="M13" s="4" t="s">
        <v>61</v>
      </c>
      <c r="N13" s="2"/>
      <c r="O13" s="2">
        <v>1470</v>
      </c>
    </row>
    <row r="14" spans="1:15" x14ac:dyDescent="0.3">
      <c r="A14" s="2" t="s">
        <v>11</v>
      </c>
      <c r="B14" s="2" t="s">
        <v>23</v>
      </c>
      <c r="C14" s="2" t="s">
        <v>33</v>
      </c>
      <c r="D14" s="2" t="s">
        <v>46</v>
      </c>
      <c r="E14" s="2">
        <v>90</v>
      </c>
      <c r="F14" s="2">
        <v>900</v>
      </c>
      <c r="G14" s="2">
        <f>E14*F14</f>
        <v>81000</v>
      </c>
      <c r="H14" s="3">
        <v>45621</v>
      </c>
      <c r="M14" s="4" t="s">
        <v>60</v>
      </c>
      <c r="N14" s="2"/>
      <c r="O14" s="2">
        <v>2500</v>
      </c>
    </row>
    <row r="15" spans="1:15" x14ac:dyDescent="0.3">
      <c r="A15" s="2" t="s">
        <v>16</v>
      </c>
      <c r="B15" s="2" t="s">
        <v>21</v>
      </c>
      <c r="C15" s="2" t="s">
        <v>29</v>
      </c>
      <c r="D15" s="2" t="s">
        <v>46</v>
      </c>
      <c r="E15" s="2">
        <v>15</v>
      </c>
      <c r="F15" s="2">
        <v>175</v>
      </c>
      <c r="G15" s="2">
        <f>E15*F15</f>
        <v>2625</v>
      </c>
      <c r="H15" s="3">
        <v>44185</v>
      </c>
      <c r="M15" s="7" t="s">
        <v>56</v>
      </c>
      <c r="N15" s="5"/>
      <c r="O15" s="5">
        <v>3800</v>
      </c>
    </row>
    <row r="16" spans="1:15" x14ac:dyDescent="0.3">
      <c r="A16" s="2" t="s">
        <v>15</v>
      </c>
      <c r="B16" s="2" t="s">
        <v>21</v>
      </c>
      <c r="C16" s="2" t="s">
        <v>31</v>
      </c>
      <c r="D16" s="2" t="s">
        <v>46</v>
      </c>
      <c r="E16" s="2">
        <v>19</v>
      </c>
      <c r="F16" s="2">
        <v>680</v>
      </c>
      <c r="G16" s="2">
        <f>E16*F16</f>
        <v>12920</v>
      </c>
      <c r="H16" s="3">
        <v>44323</v>
      </c>
      <c r="M16" s="7" t="s">
        <v>63</v>
      </c>
      <c r="N16" s="5"/>
      <c r="O16" s="5">
        <v>27230</v>
      </c>
    </row>
    <row r="17" spans="1:8" x14ac:dyDescent="0.3">
      <c r="A17" s="2"/>
      <c r="B17" s="2"/>
      <c r="C17" s="2"/>
      <c r="D17" s="4" t="s">
        <v>49</v>
      </c>
      <c r="E17" s="2"/>
      <c r="F17" s="2">
        <f>SUBTOTAL(9,F14:F16)</f>
        <v>1755</v>
      </c>
      <c r="G17" s="2"/>
      <c r="H17" s="3"/>
    </row>
    <row r="18" spans="1:8" x14ac:dyDescent="0.3">
      <c r="A18" s="2" t="s">
        <v>12</v>
      </c>
      <c r="B18" s="2" t="s">
        <v>23</v>
      </c>
      <c r="C18" s="2" t="s">
        <v>33</v>
      </c>
      <c r="D18" s="2" t="s">
        <v>45</v>
      </c>
      <c r="E18" s="2">
        <v>60</v>
      </c>
      <c r="F18" s="2">
        <v>650</v>
      </c>
      <c r="G18" s="2">
        <f>E18*F18</f>
        <v>39000</v>
      </c>
      <c r="H18" s="3">
        <v>43716</v>
      </c>
    </row>
    <row r="19" spans="1:8" x14ac:dyDescent="0.3">
      <c r="A19" s="2" t="s">
        <v>15</v>
      </c>
      <c r="B19" s="2" t="s">
        <v>21</v>
      </c>
      <c r="C19" s="2" t="s">
        <v>25</v>
      </c>
      <c r="D19" s="2" t="s">
        <v>45</v>
      </c>
      <c r="E19" s="2">
        <v>6</v>
      </c>
      <c r="F19" s="2">
        <v>590</v>
      </c>
      <c r="G19" s="2">
        <f>E19*F19</f>
        <v>3540</v>
      </c>
      <c r="H19" s="3">
        <v>44551</v>
      </c>
    </row>
    <row r="20" spans="1:8" x14ac:dyDescent="0.3">
      <c r="A20" s="2"/>
      <c r="B20" s="2"/>
      <c r="C20" s="2"/>
      <c r="D20" s="4" t="s">
        <v>52</v>
      </c>
      <c r="E20" s="2"/>
      <c r="F20" s="2">
        <f>SUBTOTAL(9,F18:F19)</f>
        <v>1240</v>
      </c>
      <c r="G20" s="2"/>
      <c r="H20" s="3"/>
    </row>
    <row r="21" spans="1:8" x14ac:dyDescent="0.3">
      <c r="A21" s="2" t="s">
        <v>12</v>
      </c>
      <c r="B21" s="2" t="s">
        <v>19</v>
      </c>
      <c r="C21" s="2" t="s">
        <v>24</v>
      </c>
      <c r="D21" s="2" t="s">
        <v>38</v>
      </c>
      <c r="E21" s="2">
        <v>8</v>
      </c>
      <c r="F21" s="2">
        <v>125</v>
      </c>
      <c r="G21" s="2">
        <f>E21*F21</f>
        <v>1000</v>
      </c>
      <c r="H21" s="3">
        <v>44393</v>
      </c>
    </row>
    <row r="22" spans="1:8" x14ac:dyDescent="0.3">
      <c r="A22" s="2"/>
      <c r="B22" s="2"/>
      <c r="C22" s="2"/>
      <c r="D22" s="4" t="s">
        <v>51</v>
      </c>
      <c r="E22" s="2"/>
      <c r="F22" s="2">
        <f>SUBTOTAL(9,F21:F21)</f>
        <v>125</v>
      </c>
      <c r="G22" s="2"/>
      <c r="H22" s="3"/>
    </row>
    <row r="23" spans="1:8" x14ac:dyDescent="0.3">
      <c r="A23" s="2" t="s">
        <v>10</v>
      </c>
      <c r="B23" s="2" t="s">
        <v>21</v>
      </c>
      <c r="C23" s="2" t="s">
        <v>28</v>
      </c>
      <c r="D23" s="2" t="s">
        <v>44</v>
      </c>
      <c r="E23" s="2">
        <v>7</v>
      </c>
      <c r="F23" s="2">
        <v>630</v>
      </c>
      <c r="G23" s="2">
        <f>E23*F23</f>
        <v>4410</v>
      </c>
      <c r="H23" s="3">
        <v>45011</v>
      </c>
    </row>
    <row r="24" spans="1:8" x14ac:dyDescent="0.3">
      <c r="A24" s="2" t="s">
        <v>11</v>
      </c>
      <c r="B24" s="2" t="s">
        <v>20</v>
      </c>
      <c r="C24" s="2" t="s">
        <v>29</v>
      </c>
      <c r="D24" s="2" t="s">
        <v>44</v>
      </c>
      <c r="E24" s="2">
        <v>6</v>
      </c>
      <c r="F24" s="2">
        <v>225</v>
      </c>
      <c r="G24" s="2">
        <f>E24*F24</f>
        <v>1350</v>
      </c>
      <c r="H24" s="3">
        <v>43958</v>
      </c>
    </row>
    <row r="25" spans="1:8" x14ac:dyDescent="0.3">
      <c r="A25" s="2"/>
      <c r="B25" s="2"/>
      <c r="C25" s="2"/>
      <c r="D25" s="4" t="s">
        <v>54</v>
      </c>
      <c r="E25" s="2"/>
      <c r="F25" s="2">
        <f>SUBTOTAL(9,F23:F24)</f>
        <v>855</v>
      </c>
      <c r="G25" s="2"/>
      <c r="H25" s="3"/>
    </row>
    <row r="26" spans="1:8" x14ac:dyDescent="0.3">
      <c r="A26" s="2" t="s">
        <v>10</v>
      </c>
      <c r="B26" s="2" t="s">
        <v>20</v>
      </c>
      <c r="C26" s="2" t="s">
        <v>28</v>
      </c>
      <c r="D26" s="2" t="s">
        <v>40</v>
      </c>
      <c r="E26" s="2">
        <v>24</v>
      </c>
      <c r="F26" s="2">
        <v>1000</v>
      </c>
      <c r="G26" s="2">
        <f>E26*F26</f>
        <v>24000</v>
      </c>
      <c r="H26" s="3">
        <v>45528</v>
      </c>
    </row>
    <row r="27" spans="1:8" x14ac:dyDescent="0.3">
      <c r="A27" s="2" t="s">
        <v>9</v>
      </c>
      <c r="B27" s="2" t="s">
        <v>20</v>
      </c>
      <c r="C27" s="2" t="s">
        <v>29</v>
      </c>
      <c r="D27" s="2" t="s">
        <v>40</v>
      </c>
      <c r="E27" s="2">
        <v>25</v>
      </c>
      <c r="F27" s="2">
        <v>1100</v>
      </c>
      <c r="G27" s="2">
        <f>E27*F27</f>
        <v>27500</v>
      </c>
      <c r="H27" s="3">
        <v>44900</v>
      </c>
    </row>
    <row r="28" spans="1:8" x14ac:dyDescent="0.3">
      <c r="A28" s="2" t="s">
        <v>9</v>
      </c>
      <c r="B28" s="2" t="s">
        <v>23</v>
      </c>
      <c r="C28" s="2" t="s">
        <v>32</v>
      </c>
      <c r="D28" s="2" t="s">
        <v>40</v>
      </c>
      <c r="E28" s="2">
        <v>53</v>
      </c>
      <c r="F28" s="2">
        <v>5000</v>
      </c>
      <c r="G28" s="2">
        <f>E28*F28</f>
        <v>265000</v>
      </c>
      <c r="H28" s="3">
        <v>44758</v>
      </c>
    </row>
    <row r="29" spans="1:8" x14ac:dyDescent="0.3">
      <c r="A29" s="2" t="s">
        <v>7</v>
      </c>
      <c r="B29" s="2" t="s">
        <v>22</v>
      </c>
      <c r="C29" s="2" t="s">
        <v>32</v>
      </c>
      <c r="D29" s="2" t="s">
        <v>40</v>
      </c>
      <c r="E29" s="2">
        <v>37</v>
      </c>
      <c r="F29" s="2">
        <v>635</v>
      </c>
      <c r="G29" s="2">
        <f>E29*F29</f>
        <v>23495</v>
      </c>
      <c r="H29" s="3">
        <v>44291</v>
      </c>
    </row>
    <row r="30" spans="1:8" x14ac:dyDescent="0.3">
      <c r="A30" s="2"/>
      <c r="B30" s="2"/>
      <c r="C30" s="2"/>
      <c r="D30" s="4" t="s">
        <v>58</v>
      </c>
      <c r="E30" s="2"/>
      <c r="F30" s="2">
        <f>SUBTOTAL(9,F26:F29)</f>
        <v>7735</v>
      </c>
      <c r="G30" s="2"/>
      <c r="H30" s="3"/>
    </row>
    <row r="31" spans="1:8" x14ac:dyDescent="0.3">
      <c r="A31" s="2" t="s">
        <v>10</v>
      </c>
      <c r="B31" s="2" t="s">
        <v>19</v>
      </c>
      <c r="C31" s="2" t="s">
        <v>24</v>
      </c>
      <c r="D31" s="2" t="s">
        <v>36</v>
      </c>
      <c r="E31" s="2">
        <v>5</v>
      </c>
      <c r="F31" s="2">
        <v>200</v>
      </c>
      <c r="G31" s="2">
        <f>E31*F31</f>
        <v>1000</v>
      </c>
      <c r="H31" s="3">
        <v>45588</v>
      </c>
    </row>
    <row r="32" spans="1:8" x14ac:dyDescent="0.3">
      <c r="A32" s="2" t="s">
        <v>15</v>
      </c>
      <c r="B32" s="2" t="s">
        <v>22</v>
      </c>
      <c r="C32" s="2" t="s">
        <v>29</v>
      </c>
      <c r="D32" s="2" t="s">
        <v>36</v>
      </c>
      <c r="E32" s="2">
        <v>90</v>
      </c>
      <c r="F32" s="2">
        <v>880</v>
      </c>
      <c r="G32" s="2">
        <f>E32*F32</f>
        <v>79200</v>
      </c>
      <c r="H32" s="3">
        <v>45157</v>
      </c>
    </row>
    <row r="33" spans="1:8" x14ac:dyDescent="0.3">
      <c r="A33" s="2" t="s">
        <v>15</v>
      </c>
      <c r="B33" s="2" t="s">
        <v>22</v>
      </c>
      <c r="C33" s="2" t="s">
        <v>32</v>
      </c>
      <c r="D33" s="2" t="s">
        <v>36</v>
      </c>
      <c r="E33" s="2">
        <v>45</v>
      </c>
      <c r="F33" s="2">
        <v>650</v>
      </c>
      <c r="G33" s="2">
        <f>E33*F33</f>
        <v>29250</v>
      </c>
      <c r="H33" s="3">
        <v>44349</v>
      </c>
    </row>
    <row r="34" spans="1:8" x14ac:dyDescent="0.3">
      <c r="A34" s="2"/>
      <c r="B34" s="2"/>
      <c r="C34" s="2"/>
      <c r="D34" s="4" t="s">
        <v>59</v>
      </c>
      <c r="E34" s="2"/>
      <c r="F34" s="2">
        <f>SUBTOTAL(9,F31:F33)</f>
        <v>1730</v>
      </c>
      <c r="G34" s="2"/>
      <c r="H34" s="3"/>
    </row>
    <row r="35" spans="1:8" x14ac:dyDescent="0.3">
      <c r="A35" s="2" t="s">
        <v>15</v>
      </c>
      <c r="B35" s="2" t="s">
        <v>23</v>
      </c>
      <c r="C35" s="2" t="s">
        <v>25</v>
      </c>
      <c r="D35" s="2" t="s">
        <v>42</v>
      </c>
      <c r="E35" s="2">
        <v>45</v>
      </c>
      <c r="F35" s="2">
        <v>550</v>
      </c>
      <c r="G35" s="2">
        <f>E35*F35</f>
        <v>24750</v>
      </c>
      <c r="H35" s="3">
        <v>42586</v>
      </c>
    </row>
    <row r="36" spans="1:8" x14ac:dyDescent="0.3">
      <c r="A36" s="2" t="s">
        <v>13</v>
      </c>
      <c r="B36" s="2" t="s">
        <v>21</v>
      </c>
      <c r="C36" s="2" t="s">
        <v>26</v>
      </c>
      <c r="D36" s="2" t="s">
        <v>42</v>
      </c>
      <c r="E36" s="2">
        <v>9</v>
      </c>
      <c r="F36" s="2">
        <v>900</v>
      </c>
      <c r="G36" s="2">
        <f>E36*F36</f>
        <v>8100</v>
      </c>
      <c r="H36" s="3">
        <v>45243</v>
      </c>
    </row>
    <row r="37" spans="1:8" x14ac:dyDescent="0.3">
      <c r="A37" s="2" t="s">
        <v>11</v>
      </c>
      <c r="B37" s="2" t="s">
        <v>20</v>
      </c>
      <c r="C37" s="2" t="s">
        <v>30</v>
      </c>
      <c r="D37" s="2" t="s">
        <v>42</v>
      </c>
      <c r="E37" s="2">
        <v>37</v>
      </c>
      <c r="F37" s="2">
        <v>700</v>
      </c>
      <c r="G37" s="2">
        <f>E37*F37</f>
        <v>25900</v>
      </c>
      <c r="H37" s="3">
        <v>44591</v>
      </c>
    </row>
    <row r="38" spans="1:8" x14ac:dyDescent="0.3">
      <c r="A38" s="2"/>
      <c r="B38" s="2"/>
      <c r="C38" s="2"/>
      <c r="D38" s="4" t="s">
        <v>55</v>
      </c>
      <c r="E38" s="2"/>
      <c r="F38" s="2">
        <f>SUBTOTAL(9,F35:F37)</f>
        <v>2150</v>
      </c>
      <c r="G38" s="2"/>
      <c r="H38" s="3"/>
    </row>
    <row r="39" spans="1:8" x14ac:dyDescent="0.3">
      <c r="A39" s="2" t="s">
        <v>18</v>
      </c>
      <c r="B39" s="2" t="s">
        <v>23</v>
      </c>
      <c r="C39" s="2" t="s">
        <v>31</v>
      </c>
      <c r="D39" s="2" t="s">
        <v>41</v>
      </c>
      <c r="E39" s="2">
        <v>30</v>
      </c>
      <c r="F39" s="2">
        <v>780</v>
      </c>
      <c r="G39" s="2">
        <f>E39*F39</f>
        <v>23400</v>
      </c>
      <c r="H39" s="3">
        <v>43696</v>
      </c>
    </row>
    <row r="40" spans="1:8" x14ac:dyDescent="0.3">
      <c r="A40" s="2" t="s">
        <v>14</v>
      </c>
      <c r="B40" s="2" t="s">
        <v>20</v>
      </c>
      <c r="C40" s="2" t="s">
        <v>30</v>
      </c>
      <c r="D40" s="2" t="s">
        <v>41</v>
      </c>
      <c r="E40" s="2">
        <v>29</v>
      </c>
      <c r="F40" s="2">
        <v>690</v>
      </c>
      <c r="G40" s="2">
        <f>E40*F40</f>
        <v>20010</v>
      </c>
      <c r="H40" s="3">
        <v>41311</v>
      </c>
    </row>
    <row r="41" spans="1:8" x14ac:dyDescent="0.3">
      <c r="A41" s="2"/>
      <c r="B41" s="2"/>
      <c r="C41" s="2"/>
      <c r="D41" s="4" t="s">
        <v>61</v>
      </c>
      <c r="E41" s="2"/>
      <c r="F41" s="2">
        <f>SUBTOTAL(9,F39:F40)</f>
        <v>1470</v>
      </c>
      <c r="G41" s="2"/>
      <c r="H41" s="3"/>
    </row>
    <row r="42" spans="1:8" x14ac:dyDescent="0.3">
      <c r="A42" s="2" t="s">
        <v>10</v>
      </c>
      <c r="B42" s="2" t="s">
        <v>21</v>
      </c>
      <c r="C42" s="2" t="s">
        <v>31</v>
      </c>
      <c r="D42" s="2" t="s">
        <v>47</v>
      </c>
      <c r="E42" s="2">
        <v>25</v>
      </c>
      <c r="F42" s="2">
        <v>2500</v>
      </c>
      <c r="G42" s="2">
        <f>E42*F42</f>
        <v>62500</v>
      </c>
      <c r="H42" s="3">
        <v>44340</v>
      </c>
    </row>
    <row r="43" spans="1:8" x14ac:dyDescent="0.3">
      <c r="A43" s="2"/>
      <c r="B43" s="2"/>
      <c r="C43" s="2"/>
      <c r="D43" s="4" t="s">
        <v>60</v>
      </c>
      <c r="E43" s="2"/>
      <c r="F43" s="2">
        <f>SUBTOTAL(9,F42:F42)</f>
        <v>2500</v>
      </c>
      <c r="G43" s="2"/>
      <c r="H43" s="3"/>
    </row>
    <row r="44" spans="1:8" x14ac:dyDescent="0.3">
      <c r="A44" s="2" t="s">
        <v>8</v>
      </c>
      <c r="B44" s="2" t="s">
        <v>19</v>
      </c>
      <c r="C44" s="2" t="s">
        <v>24</v>
      </c>
      <c r="D44" s="2" t="s">
        <v>35</v>
      </c>
      <c r="E44" s="2">
        <v>8</v>
      </c>
      <c r="F44" s="2">
        <v>500</v>
      </c>
      <c r="G44" s="2">
        <f>E44*F44</f>
        <v>4000</v>
      </c>
      <c r="H44" s="3">
        <v>43443</v>
      </c>
    </row>
    <row r="45" spans="1:8" x14ac:dyDescent="0.3">
      <c r="A45" s="2" t="s">
        <v>9</v>
      </c>
      <c r="B45" s="2" t="s">
        <v>19</v>
      </c>
      <c r="C45" s="2" t="s">
        <v>24</v>
      </c>
      <c r="D45" s="2" t="s">
        <v>35</v>
      </c>
      <c r="E45" s="2">
        <v>10</v>
      </c>
      <c r="F45" s="2">
        <v>300</v>
      </c>
      <c r="G45" s="2">
        <f>E45*F45</f>
        <v>3000</v>
      </c>
      <c r="H45" s="3">
        <v>45520</v>
      </c>
    </row>
    <row r="46" spans="1:8" x14ac:dyDescent="0.3">
      <c r="A46" s="2" t="s">
        <v>17</v>
      </c>
      <c r="B46" s="2" t="s">
        <v>22</v>
      </c>
      <c r="C46" s="2" t="s">
        <v>32</v>
      </c>
      <c r="D46" s="2" t="s">
        <v>35</v>
      </c>
      <c r="E46" s="2">
        <v>33</v>
      </c>
      <c r="F46" s="2">
        <v>3000</v>
      </c>
      <c r="G46" s="2">
        <f>E46*F46</f>
        <v>99000</v>
      </c>
      <c r="H46" s="3">
        <v>45999</v>
      </c>
    </row>
    <row r="47" spans="1:8" x14ac:dyDescent="0.3">
      <c r="A47" s="5"/>
      <c r="B47" s="5"/>
      <c r="C47" s="5"/>
      <c r="D47" s="7" t="s">
        <v>56</v>
      </c>
      <c r="E47" s="5"/>
      <c r="F47" s="5">
        <f>SUBTOTAL(9,F44:F46)</f>
        <v>3800</v>
      </c>
      <c r="G47" s="5"/>
      <c r="H47" s="6"/>
    </row>
    <row r="48" spans="1:8" x14ac:dyDescent="0.3">
      <c r="A48" s="5"/>
      <c r="B48" s="5"/>
      <c r="C48" s="5"/>
      <c r="D48" s="7" t="s">
        <v>63</v>
      </c>
      <c r="E48" s="5"/>
      <c r="F48" s="5">
        <f>SUBTOTAL(9,F2:F46)</f>
        <v>27230</v>
      </c>
      <c r="G48" s="5"/>
      <c r="H4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2026-01-03T13:51:37Z</dcterms:created>
  <dcterms:modified xsi:type="dcterms:W3CDTF">2026-01-03T19:36:40Z</dcterms:modified>
</cp:coreProperties>
</file>