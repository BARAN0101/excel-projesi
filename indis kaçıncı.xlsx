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b2e2652b707efe84/Desktop/Excel/"/>
    </mc:Choice>
  </mc:AlternateContent>
  <xr:revisionPtr revIDLastSave="0" documentId="8_{D8742ECC-AD9E-4AED-B162-7C7F607B9CF4}" xr6:coauthVersionLast="47" xr6:coauthVersionMax="47" xr10:uidLastSave="{00000000-0000-0000-0000-000000000000}"/>
  <bookViews>
    <workbookView xWindow="-108" yWindow="-108" windowWidth="23256" windowHeight="12456" xr2:uid="{56832395-7D45-4ED0-92D4-723A46C116CC}"/>
  </bookViews>
  <sheets>
    <sheet name="Sayfa1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P16" i="1" l="1"/>
  <c r="P17" i="1"/>
  <c r="P15" i="1"/>
  <c r="P14" i="1"/>
  <c r="P13" i="1"/>
  <c r="N15" i="1"/>
  <c r="N16" i="1"/>
  <c r="N17" i="1"/>
  <c r="N14" i="1"/>
  <c r="N13" i="1"/>
  <c r="M15" i="1"/>
  <c r="M16" i="1"/>
  <c r="M17" i="1"/>
  <c r="M14" i="1"/>
  <c r="M13" i="1"/>
  <c r="O2" i="1"/>
  <c r="N4" i="1"/>
  <c r="N5" i="1"/>
  <c r="N3" i="1"/>
  <c r="M4" i="1"/>
  <c r="M5" i="1"/>
  <c r="M3" i="1"/>
  <c r="M2" i="1"/>
  <c r="N2" i="1" s="1"/>
  <c r="D2" i="1"/>
  <c r="D3" i="1"/>
  <c r="D4" i="1"/>
  <c r="D5" i="1"/>
  <c r="D6" i="1"/>
  <c r="D7" i="1"/>
  <c r="D8" i="1"/>
  <c r="D9" i="1"/>
  <c r="D10" i="1"/>
  <c r="D11" i="1"/>
  <c r="D12" i="1"/>
  <c r="D13" i="1"/>
  <c r="D14" i="1"/>
</calcChain>
</file>

<file path=xl/sharedStrings.xml><?xml version="1.0" encoding="utf-8"?>
<sst xmlns="http://schemas.openxmlformats.org/spreadsheetml/2006/main" count="86" uniqueCount="68">
  <si>
    <t xml:space="preserve">Memur No </t>
  </si>
  <si>
    <t>Ad</t>
  </si>
  <si>
    <t>Soyad</t>
  </si>
  <si>
    <t>AdSoyad</t>
  </si>
  <si>
    <t>Görev</t>
  </si>
  <si>
    <t>Daire</t>
  </si>
  <si>
    <t>MemurKart</t>
  </si>
  <si>
    <t>İşe Başlama</t>
  </si>
  <si>
    <t>Doğum Tarihi</t>
  </si>
  <si>
    <t>Garip</t>
  </si>
  <si>
    <t>Otçu</t>
  </si>
  <si>
    <t>Tercan</t>
  </si>
  <si>
    <t>Saatçioğlu</t>
  </si>
  <si>
    <t>Akkuzu</t>
  </si>
  <si>
    <t>Geçimsiz</t>
  </si>
  <si>
    <t>Yaylacı</t>
  </si>
  <si>
    <t>Makas</t>
  </si>
  <si>
    <t>Kabak</t>
  </si>
  <si>
    <t>Müderresoğlu</t>
  </si>
  <si>
    <t>Hebelek</t>
  </si>
  <si>
    <t>Pala</t>
  </si>
  <si>
    <t>Feslioğlu</t>
  </si>
  <si>
    <t>Mesut</t>
  </si>
  <si>
    <t>Pınar</t>
  </si>
  <si>
    <t>Tekin</t>
  </si>
  <si>
    <t>Leyla</t>
  </si>
  <si>
    <t>Aslı</t>
  </si>
  <si>
    <t>Erdal</t>
  </si>
  <si>
    <t>Faruk</t>
  </si>
  <si>
    <t>Işık</t>
  </si>
  <si>
    <t>Jale</t>
  </si>
  <si>
    <t>Sonkar</t>
  </si>
  <si>
    <t>Zeynel</t>
  </si>
  <si>
    <t>Nida</t>
  </si>
  <si>
    <t>Fazlı</t>
  </si>
  <si>
    <t>Mühendislik</t>
  </si>
  <si>
    <t xml:space="preserve">Araştırma </t>
  </si>
  <si>
    <t>Sanat</t>
  </si>
  <si>
    <t>Pazarlama</t>
  </si>
  <si>
    <t>Yönetim</t>
  </si>
  <si>
    <t>Muhasebe Yrd</t>
  </si>
  <si>
    <t>Makine Müh</t>
  </si>
  <si>
    <t>Grup Yönetim</t>
  </si>
  <si>
    <t>Tasarım Yrd</t>
  </si>
  <si>
    <t>Birim Yön</t>
  </si>
  <si>
    <t>Tasarım Uzmanı</t>
  </si>
  <si>
    <t>Tasarım yrd</t>
  </si>
  <si>
    <t>Şef Müh</t>
  </si>
  <si>
    <t>Yönetim Yrd</t>
  </si>
  <si>
    <t>Araştırma Görev</t>
  </si>
  <si>
    <t xml:space="preserve">Muhasebe </t>
  </si>
  <si>
    <t>M166</t>
  </si>
  <si>
    <t>M142</t>
  </si>
  <si>
    <t>M567</t>
  </si>
  <si>
    <t>M757</t>
  </si>
  <si>
    <t>M909</t>
  </si>
  <si>
    <t>M500</t>
  </si>
  <si>
    <t>M151</t>
  </si>
  <si>
    <t>M303</t>
  </si>
  <si>
    <t>M101</t>
  </si>
  <si>
    <t>M202</t>
  </si>
  <si>
    <t>M502</t>
  </si>
  <si>
    <t>M100</t>
  </si>
  <si>
    <t>M110</t>
  </si>
  <si>
    <t>Memur No</t>
  </si>
  <si>
    <t>Sıra</t>
  </si>
  <si>
    <t>Ad Soyad</t>
  </si>
  <si>
    <t>Memur Kart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</si>
</sst>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charset val="162"/>
      <scheme val="minor"/>
    </font>
    <font>
      <sz val="11"/>
      <color theme="0"/>
      <name val="Calibri"/>
      <family val="2"/>
      <charset val="16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00206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0" xfId="0" applyFont="1" applyFill="1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eması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16DFD6A-5A5E-45FE-98F2-BBFBD6924494}">
  <dimension ref="A1:P17"/>
  <sheetViews>
    <sheetView tabSelected="1" workbookViewId="0">
      <selection activeCell="Q14" sqref="Q14"/>
    </sheetView>
  </sheetViews>
  <sheetFormatPr defaultRowHeight="14.4" x14ac:dyDescent="0.3"/>
  <cols>
    <col min="1" max="1" width="10.21875" bestFit="1" customWidth="1"/>
    <col min="2" max="2" width="12.21875" bestFit="1" customWidth="1"/>
    <col min="4" max="4" width="18" bestFit="1" customWidth="1"/>
    <col min="5" max="5" width="14.33203125" bestFit="1" customWidth="1"/>
    <col min="6" max="6" width="12.44140625" bestFit="1" customWidth="1"/>
    <col min="7" max="7" width="10.21875" bestFit="1" customWidth="1"/>
    <col min="8" max="8" width="10.6640625" bestFit="1" customWidth="1"/>
    <col min="9" max="9" width="11.77734375" bestFit="1" customWidth="1"/>
    <col min="12" max="12" width="10.6640625" bestFit="1" customWidth="1"/>
    <col min="14" max="14" width="11.5546875" bestFit="1" customWidth="1"/>
    <col min="15" max="15" width="8.44140625" bestFit="1" customWidth="1"/>
    <col min="16" max="16" width="14.109375" bestFit="1" customWidth="1"/>
  </cols>
  <sheetData>
    <row r="1" spans="1:16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L1" s="1" t="s">
        <v>64</v>
      </c>
      <c r="M1" s="1" t="s">
        <v>65</v>
      </c>
      <c r="N1" s="1" t="s">
        <v>66</v>
      </c>
      <c r="O1" s="1" t="s">
        <v>66</v>
      </c>
    </row>
    <row r="2" spans="1:16" x14ac:dyDescent="0.3">
      <c r="A2">
        <v>16666</v>
      </c>
      <c r="B2" t="s">
        <v>22</v>
      </c>
      <c r="C2" t="s">
        <v>9</v>
      </c>
      <c r="D2" t="str">
        <f>CONCATENATE(B2, C2)</f>
        <v>MesutGarip</v>
      </c>
      <c r="E2" t="s">
        <v>40</v>
      </c>
      <c r="F2" t="s">
        <v>50</v>
      </c>
      <c r="G2" t="s">
        <v>51</v>
      </c>
      <c r="H2" s="2">
        <v>46033</v>
      </c>
      <c r="I2" s="2">
        <v>37144</v>
      </c>
      <c r="L2">
        <v>1055</v>
      </c>
      <c r="M2">
        <f>MATCH(L2,A:A)</f>
        <v>6</v>
      </c>
      <c r="N2" t="str">
        <f>INDEX(D:D,M2,0)</f>
        <v>AslıAkkuzu</v>
      </c>
      <c r="O2" t="e">
        <f>INDEX(D:D,MATCH(M2,A:A,0))</f>
        <v>#N/A</v>
      </c>
    </row>
    <row r="3" spans="1:16" x14ac:dyDescent="0.3">
      <c r="A3">
        <v>1012</v>
      </c>
      <c r="B3" t="s">
        <v>23</v>
      </c>
      <c r="C3" t="s">
        <v>10</v>
      </c>
      <c r="D3" t="str">
        <f>CONCATENATE(B3,,C3)</f>
        <v>PınarOtçu</v>
      </c>
      <c r="E3" t="s">
        <v>41</v>
      </c>
      <c r="F3" t="s">
        <v>35</v>
      </c>
      <c r="G3" t="s">
        <v>52</v>
      </c>
      <c r="H3" s="2">
        <v>46034</v>
      </c>
      <c r="I3" s="2">
        <v>37145</v>
      </c>
      <c r="L3">
        <v>1068</v>
      </c>
      <c r="M3">
        <f>MATCH(L3,A:A)</f>
        <v>9</v>
      </c>
      <c r="N3" t="str">
        <f>INDEX(D:D,M3,0)</f>
        <v>IşıkMakas</v>
      </c>
    </row>
    <row r="4" spans="1:16" x14ac:dyDescent="0.3">
      <c r="A4">
        <v>1041</v>
      </c>
      <c r="B4" t="s">
        <v>24</v>
      </c>
      <c r="C4" t="s">
        <v>11</v>
      </c>
      <c r="D4" t="str">
        <f t="shared" ref="D4:D14" si="0">CONCATENATE(B4,C4)</f>
        <v>TekinTercan</v>
      </c>
      <c r="E4" t="s">
        <v>42</v>
      </c>
      <c r="F4" t="s">
        <v>36</v>
      </c>
      <c r="G4" t="s">
        <v>53</v>
      </c>
      <c r="H4" s="2">
        <v>46035</v>
      </c>
      <c r="I4" s="2">
        <v>37146</v>
      </c>
      <c r="L4">
        <v>1079</v>
      </c>
      <c r="M4">
        <f>MATCH(L4,A:A)</f>
        <v>13</v>
      </c>
      <c r="N4" t="str">
        <f>INDEX(D:D,M4,0)</f>
        <v>NidaPala</v>
      </c>
    </row>
    <row r="5" spans="1:16" x14ac:dyDescent="0.3">
      <c r="A5">
        <v>1054</v>
      </c>
      <c r="B5" t="s">
        <v>25</v>
      </c>
      <c r="C5" t="s">
        <v>12</v>
      </c>
      <c r="D5" t="str">
        <f t="shared" si="0"/>
        <v>LeylaSaatçioğlu</v>
      </c>
      <c r="E5" t="s">
        <v>43</v>
      </c>
      <c r="F5" t="s">
        <v>37</v>
      </c>
      <c r="G5" t="s">
        <v>54</v>
      </c>
      <c r="H5" s="2">
        <v>46036</v>
      </c>
      <c r="I5" s="2">
        <v>37147</v>
      </c>
      <c r="L5">
        <v>1153</v>
      </c>
      <c r="M5">
        <f>MATCH(L5,A:A)</f>
        <v>14</v>
      </c>
      <c r="N5" t="str">
        <f>INDEX(D:D,M5,0)</f>
        <v>FazlıFeslioğlu</v>
      </c>
    </row>
    <row r="6" spans="1:16" x14ac:dyDescent="0.3">
      <c r="A6">
        <v>1055</v>
      </c>
      <c r="B6" t="s">
        <v>26</v>
      </c>
      <c r="C6" t="s">
        <v>13</v>
      </c>
      <c r="D6" t="str">
        <f t="shared" si="0"/>
        <v>AslıAkkuzu</v>
      </c>
      <c r="E6" t="s">
        <v>44</v>
      </c>
      <c r="F6" t="s">
        <v>38</v>
      </c>
      <c r="G6" t="s">
        <v>55</v>
      </c>
      <c r="H6" s="2">
        <v>46037</v>
      </c>
      <c r="I6" s="2">
        <v>37148</v>
      </c>
    </row>
    <row r="7" spans="1:16" x14ac:dyDescent="0.3">
      <c r="A7">
        <v>1056</v>
      </c>
      <c r="B7" t="s">
        <v>27</v>
      </c>
      <c r="C7" t="s">
        <v>14</v>
      </c>
      <c r="D7" t="str">
        <f t="shared" si="0"/>
        <v>ErdalGeçimsiz</v>
      </c>
      <c r="E7" t="s">
        <v>45</v>
      </c>
      <c r="F7" t="s">
        <v>39</v>
      </c>
      <c r="G7" t="s">
        <v>56</v>
      </c>
      <c r="H7" s="2">
        <v>46038</v>
      </c>
      <c r="I7" s="2">
        <v>37149</v>
      </c>
    </row>
    <row r="8" spans="1:16" x14ac:dyDescent="0.3">
      <c r="A8">
        <v>1067</v>
      </c>
      <c r="B8" t="s">
        <v>28</v>
      </c>
      <c r="C8" t="s">
        <v>15</v>
      </c>
      <c r="D8" t="str">
        <f t="shared" si="0"/>
        <v>FarukYaylacı</v>
      </c>
      <c r="E8" t="s">
        <v>41</v>
      </c>
      <c r="F8" t="s">
        <v>37</v>
      </c>
      <c r="G8" t="s">
        <v>57</v>
      </c>
      <c r="H8" s="2">
        <v>46039</v>
      </c>
      <c r="I8" s="2">
        <v>37150</v>
      </c>
    </row>
    <row r="9" spans="1:16" x14ac:dyDescent="0.3">
      <c r="A9">
        <v>1068</v>
      </c>
      <c r="B9" t="s">
        <v>29</v>
      </c>
      <c r="C9" t="s">
        <v>16</v>
      </c>
      <c r="D9" t="str">
        <f t="shared" si="0"/>
        <v>IşıkMakas</v>
      </c>
      <c r="E9" t="s">
        <v>46</v>
      </c>
      <c r="F9" t="s">
        <v>35</v>
      </c>
      <c r="G9" t="s">
        <v>58</v>
      </c>
      <c r="H9" s="2">
        <v>46040</v>
      </c>
      <c r="I9" s="2">
        <v>37151</v>
      </c>
    </row>
    <row r="10" spans="1:16" x14ac:dyDescent="0.3">
      <c r="A10">
        <v>1075</v>
      </c>
      <c r="B10" t="s">
        <v>30</v>
      </c>
      <c r="C10" t="s">
        <v>17</v>
      </c>
      <c r="D10" t="str">
        <f t="shared" si="0"/>
        <v>JaleKabak</v>
      </c>
      <c r="E10" t="s">
        <v>47</v>
      </c>
      <c r="F10" t="s">
        <v>37</v>
      </c>
      <c r="G10" t="s">
        <v>59</v>
      </c>
      <c r="H10" s="2">
        <v>46041</v>
      </c>
      <c r="I10" s="2">
        <v>37152</v>
      </c>
    </row>
    <row r="11" spans="1:16" x14ac:dyDescent="0.3">
      <c r="A11">
        <v>1076</v>
      </c>
      <c r="B11" t="s">
        <v>31</v>
      </c>
      <c r="C11" t="s">
        <v>18</v>
      </c>
      <c r="D11" t="str">
        <f t="shared" si="0"/>
        <v>SonkarMüderresoğlu</v>
      </c>
      <c r="E11" t="s">
        <v>48</v>
      </c>
      <c r="F11" t="s">
        <v>35</v>
      </c>
      <c r="G11" t="s">
        <v>60</v>
      </c>
      <c r="H11" s="2">
        <v>46042</v>
      </c>
      <c r="I11" s="2">
        <v>37153</v>
      </c>
    </row>
    <row r="12" spans="1:16" x14ac:dyDescent="0.3">
      <c r="A12">
        <v>1078</v>
      </c>
      <c r="B12" t="s">
        <v>32</v>
      </c>
      <c r="C12" t="s">
        <v>19</v>
      </c>
      <c r="D12" t="str">
        <f t="shared" si="0"/>
        <v>ZeynelHebelek</v>
      </c>
      <c r="E12" t="s">
        <v>49</v>
      </c>
      <c r="F12" t="s">
        <v>38</v>
      </c>
      <c r="G12" t="s">
        <v>61</v>
      </c>
      <c r="H12" s="2">
        <v>46043</v>
      </c>
      <c r="I12" s="2">
        <v>37154</v>
      </c>
      <c r="L12" s="1" t="s">
        <v>67</v>
      </c>
      <c r="M12" s="1" t="s">
        <v>4</v>
      </c>
      <c r="P12" s="1" t="s">
        <v>4</v>
      </c>
    </row>
    <row r="13" spans="1:16" x14ac:dyDescent="0.3">
      <c r="A13">
        <v>1079</v>
      </c>
      <c r="B13" t="s">
        <v>33</v>
      </c>
      <c r="C13" t="s">
        <v>20</v>
      </c>
      <c r="D13" t="str">
        <f t="shared" si="0"/>
        <v>NidaPala</v>
      </c>
      <c r="E13" t="s">
        <v>40</v>
      </c>
      <c r="F13" t="s">
        <v>39</v>
      </c>
      <c r="G13" t="s">
        <v>62</v>
      </c>
      <c r="H13" s="2">
        <v>46044</v>
      </c>
      <c r="I13" s="2">
        <v>37155</v>
      </c>
      <c r="L13" t="s">
        <v>56</v>
      </c>
      <c r="M13">
        <f>MATCH(L13,G:G,0)</f>
        <v>7</v>
      </c>
      <c r="N13" t="str">
        <f>INDEX(E:E,M13,0)</f>
        <v>Tasarım Uzmanı</v>
      </c>
      <c r="P13" t="str">
        <f>INDEX(E:E,MATCH(L13,G:G,0))</f>
        <v>Tasarım Uzmanı</v>
      </c>
    </row>
    <row r="14" spans="1:16" x14ac:dyDescent="0.3">
      <c r="A14">
        <v>1080</v>
      </c>
      <c r="B14" t="s">
        <v>34</v>
      </c>
      <c r="C14" t="s">
        <v>21</v>
      </c>
      <c r="D14" t="str">
        <f t="shared" si="0"/>
        <v>FazlıFeslioğlu</v>
      </c>
      <c r="E14" t="s">
        <v>42</v>
      </c>
      <c r="F14" t="s">
        <v>36</v>
      </c>
      <c r="G14" t="s">
        <v>63</v>
      </c>
      <c r="H14" s="2">
        <v>46045</v>
      </c>
      <c r="I14" s="2">
        <v>37156</v>
      </c>
      <c r="L14" t="s">
        <v>52</v>
      </c>
      <c r="M14">
        <f>MATCH(L14,G:G,0)</f>
        <v>3</v>
      </c>
      <c r="N14" t="str">
        <f>INDEX(E:E,M14,0)</f>
        <v>Makine Müh</v>
      </c>
      <c r="P14" t="str">
        <f>INDEX(E:E,MATCH(L14,G:G,0))</f>
        <v>Makine Müh</v>
      </c>
    </row>
    <row r="15" spans="1:16" x14ac:dyDescent="0.3">
      <c r="L15" t="s">
        <v>53</v>
      </c>
      <c r="M15">
        <f t="shared" ref="M15:M17" si="1">MATCH(L15,G:G,0)</f>
        <v>4</v>
      </c>
      <c r="N15" t="str">
        <f t="shared" ref="N15:N17" si="2">INDEX(E:E,M15,0)</f>
        <v>Grup Yönetim</v>
      </c>
      <c r="P15" t="str">
        <f>INDEX(E:E,MATCH(L15,G:G,0))</f>
        <v>Grup Yönetim</v>
      </c>
    </row>
    <row r="16" spans="1:16" x14ac:dyDescent="0.3">
      <c r="L16" t="s">
        <v>59</v>
      </c>
      <c r="M16">
        <f t="shared" si="1"/>
        <v>10</v>
      </c>
      <c r="N16" t="str">
        <f t="shared" si="2"/>
        <v>Şef Müh</v>
      </c>
      <c r="P16" t="str">
        <f>INDEX(E:E,MATCH(L16,G:G,0))</f>
        <v>Şef Müh</v>
      </c>
    </row>
    <row r="17" spans="12:16" x14ac:dyDescent="0.3">
      <c r="L17" t="s">
        <v>60</v>
      </c>
      <c r="M17">
        <f t="shared" si="1"/>
        <v>11</v>
      </c>
      <c r="N17" t="str">
        <f t="shared" si="2"/>
        <v>Yönetim Yrd</v>
      </c>
      <c r="P17" t="str">
        <f>INDEX(E:E,MATCH(L17,G:G,0))</f>
        <v>Yönetim Yrd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Çalışma Sayfaları</vt:lpstr>
      </vt:variant>
      <vt:variant>
        <vt:i4>1</vt:i4>
      </vt:variant>
    </vt:vector>
  </HeadingPairs>
  <TitlesOfParts>
    <vt:vector size="1" baseType="lpstr">
      <vt:lpstr>Sayfa1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baran Mavuzer</dc:creator>
  <cp:lastModifiedBy>baran Mavuzer</cp:lastModifiedBy>
  <dcterms:created xsi:type="dcterms:W3CDTF">2026-01-11T13:22:01Z</dcterms:created>
  <dcterms:modified xsi:type="dcterms:W3CDTF">2026-01-11T14:13:07Z</dcterms:modified>
</cp:coreProperties>
</file>