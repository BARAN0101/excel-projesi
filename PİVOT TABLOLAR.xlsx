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Desktop/Excel/"/>
    </mc:Choice>
  </mc:AlternateContent>
  <xr:revisionPtr revIDLastSave="0" documentId="14_{01B416B9-7620-487A-9505-082634C4034D}" xr6:coauthVersionLast="47" xr6:coauthVersionMax="47" xr10:uidLastSave="{00000000-0000-0000-0000-000000000000}"/>
  <bookViews>
    <workbookView xWindow="-108" yWindow="-108" windowWidth="23256" windowHeight="12456" firstSheet="5" activeTab="9" xr2:uid="{CC27D855-2D4D-42FD-9ED9-6CF4162EFB43}"/>
  </bookViews>
  <sheets>
    <sheet name="Sayfa2" sheetId="2" r:id="rId1"/>
    <sheet name="Sayfa4" sheetId="11" r:id="rId2"/>
    <sheet name="Ayrıntı1" sheetId="15" r:id="rId3"/>
    <sheet name="CD-ROM" sheetId="14" r:id="rId4"/>
    <sheet name="COMPUTER" sheetId="13" r:id="rId5"/>
    <sheet name="Sayfa5" sheetId="12" r:id="rId6"/>
    <sheet name="Ayrıntı2" sheetId="17" r:id="rId7"/>
    <sheet name="Sayfa8" sheetId="16" r:id="rId8"/>
    <sheet name="Ayrıntı3" sheetId="19" r:id="rId9"/>
    <sheet name="Sayfa9" sheetId="18" r:id="rId10"/>
    <sheet name="Sayfa1" sheetId="1" r:id="rId11"/>
  </sheets>
  <definedNames>
    <definedName name="Dilimleyici_AN">#N/A</definedName>
    <definedName name="Dilimleyici_AN1">#N/A</definedName>
    <definedName name="Dilimleyici_MARKA">#N/A</definedName>
    <definedName name="Dilimleyici_MARKA1">#N/A</definedName>
    <definedName name="Dilimleyici_ÜRÜN_ADI">#N/A</definedName>
    <definedName name="Dilimleyici_ÜRÜN_ADI1">#N/A</definedName>
  </definedNames>
  <calcPr calcId="181029"/>
  <pivotCaches>
    <pivotCache cacheId="124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2" i="1"/>
</calcChain>
</file>

<file path=xl/sharedStrings.xml><?xml version="1.0" encoding="utf-8"?>
<sst xmlns="http://schemas.openxmlformats.org/spreadsheetml/2006/main" count="461" uniqueCount="58">
  <si>
    <t>ÜRÜN ADI</t>
  </si>
  <si>
    <t>MARKA</t>
  </si>
  <si>
    <t>BÖLGE</t>
  </si>
  <si>
    <t>ADET</t>
  </si>
  <si>
    <t>FİYAT</t>
  </si>
  <si>
    <t>TUTAR</t>
  </si>
  <si>
    <t>TARİH</t>
  </si>
  <si>
    <t>CD-ROM</t>
  </si>
  <si>
    <t>COMPUTER</t>
  </si>
  <si>
    <t xml:space="preserve"> CREATİVE</t>
  </si>
  <si>
    <t>CREATİVE</t>
  </si>
  <si>
    <t>STAR</t>
  </si>
  <si>
    <t>HP</t>
  </si>
  <si>
    <t>DİGİTAL</t>
  </si>
  <si>
    <t>IBM</t>
  </si>
  <si>
    <t>TATUNG</t>
  </si>
  <si>
    <t>PACKARD BELL</t>
  </si>
  <si>
    <t>İZMİR</t>
  </si>
  <si>
    <t>ADANA</t>
  </si>
  <si>
    <t>ESKİŞEHİR</t>
  </si>
  <si>
    <t>SAMSUN</t>
  </si>
  <si>
    <t>ANTALYA</t>
  </si>
  <si>
    <t>ANKARA</t>
  </si>
  <si>
    <t>İSTANBUL</t>
  </si>
  <si>
    <t>AN</t>
  </si>
  <si>
    <t>Satır Etiketleri</t>
  </si>
  <si>
    <t>Genel Toplam</t>
  </si>
  <si>
    <t>Toplam TUTAR</t>
  </si>
  <si>
    <t>Yıl (TARİH)</t>
  </si>
  <si>
    <t>Ay (TARİH)</t>
  </si>
  <si>
    <t>2019</t>
  </si>
  <si>
    <t>2020</t>
  </si>
  <si>
    <t>(Tümü)</t>
  </si>
  <si>
    <t>%LİK TOPLAM</t>
  </si>
  <si>
    <t>Say MARKA</t>
  </si>
  <si>
    <t>Toplam ADET</t>
  </si>
  <si>
    <t>Şub</t>
  </si>
  <si>
    <t>390-889</t>
  </si>
  <si>
    <t>890-1389</t>
  </si>
  <si>
    <t>1390-1889</t>
  </si>
  <si>
    <t>1890-2389</t>
  </si>
  <si>
    <t>2390-2889</t>
  </si>
  <si>
    <t>2890-3389</t>
  </si>
  <si>
    <t>3390-3889</t>
  </si>
  <si>
    <t>Toplam FİYAT</t>
  </si>
  <si>
    <t>Toplam FİYAT - AN: ESKİŞEHİR, MARKA: CREATİVE, ÜRÜN ADI: CD-ROM için ayrıntılar</t>
  </si>
  <si>
    <t>Toplam TUTAR - ADET: 3 için ayrıntılar</t>
  </si>
  <si>
    <t>Ara</t>
  </si>
  <si>
    <t>Eki</t>
  </si>
  <si>
    <t>May</t>
  </si>
  <si>
    <t>Kas</t>
  </si>
  <si>
    <t>Eyl</t>
  </si>
  <si>
    <t>Nis</t>
  </si>
  <si>
    <t>Haz</t>
  </si>
  <si>
    <t>Tem</t>
  </si>
  <si>
    <t>Oca</t>
  </si>
  <si>
    <t>Toplam TUTAR - Yıl (TARİH): 2019 için ayrıntılar</t>
  </si>
  <si>
    <t>Ağu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</si>
</sst>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;[Red]\-0.00\ "/>
  </numFmts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12">
    <dxf>
      <numFmt numFmtId="1" formatCode="0"/>
    </dxf>
    <dxf>
      <numFmt numFmtId="164" formatCode="0.00_ ;[Red]\-0.00\ "/>
    </dxf>
    <dxf>
      <numFmt numFmtId="0" formatCode="General"/>
    </dxf>
    <dxf>
      <numFmt numFmtId="19" formatCode="d/mm/yyyy"/>
    </dxf>
    <dxf>
      <numFmt numFmtId="1" formatCode="0"/>
    </dxf>
    <dxf>
      <numFmt numFmtId="164" formatCode="0.00_ ;[Red]\-0.00\ "/>
    </dxf>
    <dxf>
      <numFmt numFmtId="0" formatCode="General"/>
    </dxf>
    <dxf>
      <numFmt numFmtId="19" formatCode="d/mm/yyyy"/>
    </dxf>
    <dxf>
      <numFmt numFmtId="19" formatCode="d/mm/yyyy"/>
    </dxf>
    <dxf>
      <numFmt numFmtId="1" formatCode="0"/>
    </dxf>
    <dxf>
      <numFmt numFmtId="164" formatCode="0.00_ ;[Red]\-0.00\ 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microsoft.com/office/2007/relationships/slicerCache" Target="slicerCaches/slicerCache6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07/relationships/slicerCache" Target="slicerCaches/slicerCache5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[PİVOT TABLOLAR.xlsx]Sayfa9!PivotTable9</c:name>
    <c:fmtId val="0"/>
  </c:pivotSource>
  <c:chart>
    <c:title>
      <c:layout>
        <c:manualLayout>
          <c:xMode val="edge"/>
          <c:yMode val="edge"/>
          <c:x val="0.38691666666666674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280314960629922"/>
          <c:y val="0.22161818314377368"/>
          <c:w val="0.71105336832895893"/>
          <c:h val="0.43228310002916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Sayfa9!$B$3</c:f>
              <c:strCache>
                <c:ptCount val="1"/>
                <c:pt idx="0">
                  <c:v>Toplam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Sayfa9!$A$4:$A$11</c:f>
              <c:strCache>
                <c:ptCount val="7"/>
                <c:pt idx="0">
                  <c:v>ADANA</c:v>
                </c:pt>
                <c:pt idx="1">
                  <c:v>ANKARA</c:v>
                </c:pt>
                <c:pt idx="2">
                  <c:v>ANTALYA</c:v>
                </c:pt>
                <c:pt idx="3">
                  <c:v>ESKİŞEHİR</c:v>
                </c:pt>
                <c:pt idx="4">
                  <c:v>İSTANBUL</c:v>
                </c:pt>
                <c:pt idx="5">
                  <c:v>İZMİR</c:v>
                </c:pt>
                <c:pt idx="6">
                  <c:v>SAMSUN</c:v>
                </c:pt>
              </c:strCache>
            </c:strRef>
          </c:cat>
          <c:val>
            <c:numRef>
              <c:f>Sayfa9!$B$4:$B$11</c:f>
              <c:numCache>
                <c:formatCode>General</c:formatCode>
                <c:ptCount val="7"/>
                <c:pt idx="0">
                  <c:v>6006</c:v>
                </c:pt>
                <c:pt idx="1">
                  <c:v>163960</c:v>
                </c:pt>
                <c:pt idx="2">
                  <c:v>20724</c:v>
                </c:pt>
                <c:pt idx="3">
                  <c:v>61858</c:v>
                </c:pt>
                <c:pt idx="4">
                  <c:v>220154</c:v>
                </c:pt>
                <c:pt idx="5">
                  <c:v>55724</c:v>
                </c:pt>
                <c:pt idx="6">
                  <c:v>120606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A-48C3-B19D-40C125AE4B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24975695"/>
        <c:axId val="918987295"/>
      </c:barChart>
      <c:catAx>
        <c:axId val="82497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18987295"/>
        <c:crosses val="autoZero"/>
        <c:auto val="1"/>
        <c:lblAlgn val="ctr"/>
        <c:lblOffset val="100"/>
        <c:noMultiLvlLbl val="0"/>
      </c:catAx>
      <c:valAx>
        <c:axId val="91898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2497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[PİVOT TABLOLAR.xlsx]Sayfa9!PivotTable10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Sayfa9!$B$19</c:f>
              <c:strCache>
                <c:ptCount val="1"/>
                <c:pt idx="0">
                  <c:v>Toplam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Sayfa9!$A$20:$A$41</c:f>
              <c:multiLvlStrCache>
                <c:ptCount val="19"/>
                <c:lvl>
                  <c:pt idx="0">
                    <c:v>Şub</c:v>
                  </c:pt>
                  <c:pt idx="1">
                    <c:v>May</c:v>
                  </c:pt>
                  <c:pt idx="2">
                    <c:v>Haz</c:v>
                  </c:pt>
                  <c:pt idx="3">
                    <c:v>Tem</c:v>
                  </c:pt>
                  <c:pt idx="4">
                    <c:v>Eyl</c:v>
                  </c:pt>
                  <c:pt idx="5">
                    <c:v>Eki</c:v>
                  </c:pt>
                  <c:pt idx="6">
                    <c:v>Kas</c:v>
                  </c:pt>
                  <c:pt idx="7">
                    <c:v>Ara</c:v>
                  </c:pt>
                  <c:pt idx="8">
                    <c:v>Oca</c:v>
                  </c:pt>
                  <c:pt idx="9">
                    <c:v>Şub</c:v>
                  </c:pt>
                  <c:pt idx="10">
                    <c:v>Nis</c:v>
                  </c:pt>
                  <c:pt idx="11">
                    <c:v>May</c:v>
                  </c:pt>
                  <c:pt idx="12">
                    <c:v>Haz</c:v>
                  </c:pt>
                  <c:pt idx="13">
                    <c:v>Tem</c:v>
                  </c:pt>
                  <c:pt idx="14">
                    <c:v>Ağu</c:v>
                  </c:pt>
                  <c:pt idx="15">
                    <c:v>Eyl</c:v>
                  </c:pt>
                  <c:pt idx="16">
                    <c:v>Eki</c:v>
                  </c:pt>
                  <c:pt idx="17">
                    <c:v>Kas</c:v>
                  </c:pt>
                  <c:pt idx="18">
                    <c:v>Ara</c:v>
                  </c:pt>
                </c:lvl>
                <c:lvl>
                  <c:pt idx="0">
                    <c:v>2019</c:v>
                  </c:pt>
                  <c:pt idx="8">
                    <c:v>2020</c:v>
                  </c:pt>
                </c:lvl>
              </c:multiLvlStrCache>
            </c:multiLvlStrRef>
          </c:cat>
          <c:val>
            <c:numRef>
              <c:f>Sayfa9!$B$20:$B$41</c:f>
              <c:numCache>
                <c:formatCode>General</c:formatCode>
                <c:ptCount val="19"/>
                <c:pt idx="0">
                  <c:v>2640</c:v>
                </c:pt>
                <c:pt idx="1">
                  <c:v>12672</c:v>
                </c:pt>
                <c:pt idx="2">
                  <c:v>80000</c:v>
                </c:pt>
                <c:pt idx="3">
                  <c:v>2640</c:v>
                </c:pt>
                <c:pt idx="4">
                  <c:v>11850</c:v>
                </c:pt>
                <c:pt idx="5">
                  <c:v>3366</c:v>
                </c:pt>
                <c:pt idx="6">
                  <c:v>1980</c:v>
                </c:pt>
                <c:pt idx="7">
                  <c:v>19404</c:v>
                </c:pt>
                <c:pt idx="8">
                  <c:v>186224</c:v>
                </c:pt>
                <c:pt idx="9">
                  <c:v>65538</c:v>
                </c:pt>
                <c:pt idx="10">
                  <c:v>1386</c:v>
                </c:pt>
                <c:pt idx="11">
                  <c:v>29584</c:v>
                </c:pt>
                <c:pt idx="12">
                  <c:v>7920</c:v>
                </c:pt>
                <c:pt idx="13">
                  <c:v>86666</c:v>
                </c:pt>
                <c:pt idx="14">
                  <c:v>7000</c:v>
                </c:pt>
                <c:pt idx="15">
                  <c:v>39936</c:v>
                </c:pt>
                <c:pt idx="16">
                  <c:v>39766</c:v>
                </c:pt>
                <c:pt idx="17">
                  <c:v>48480</c:v>
                </c:pt>
                <c:pt idx="18">
                  <c:v>1980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C8-4027-A831-0AECB41E4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735759"/>
        <c:axId val="991692607"/>
      </c:lineChart>
      <c:catAx>
        <c:axId val="83973575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91692607"/>
        <c:crosses val="autoZero"/>
        <c:auto val="1"/>
        <c:lblAlgn val="ctr"/>
        <c:lblOffset val="100"/>
        <c:noMultiLvlLbl val="0"/>
      </c:catAx>
      <c:valAx>
        <c:axId val="9916926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3973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541020</xdr:colOff>
      <xdr:row>0</xdr:row>
      <xdr:rowOff>137160</xdr:rowOff>
    </xdr:from>
    <xdr:to>
      <xdr:col>7</xdr:col>
      <xdr:colOff>769620</xdr:colOff>
      <xdr:row>14</xdr:row>
      <xdr:rowOff>43815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ÜRÜN ADI">
              <a:extLst>
                <a:ext uri="{FF2B5EF4-FFF2-40B4-BE49-F238E27FC236}">
                  <a16:creationId xmlns:a16="http://schemas.microsoft.com/office/drawing/2014/main" id="{A31C70EC-456B-42B8-2F3A-5B09FE9015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ÜRÜN ADI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04560" y="1371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167640</xdr:colOff>
      <xdr:row>13</xdr:row>
      <xdr:rowOff>83820</xdr:rowOff>
    </xdr:from>
    <xdr:to>
      <xdr:col>8</xdr:col>
      <xdr:colOff>396240</xdr:colOff>
      <xdr:row>26</xdr:row>
      <xdr:rowOff>173355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MARKA">
              <a:extLst>
                <a:ext uri="{FF2B5EF4-FFF2-40B4-BE49-F238E27FC236}">
                  <a16:creationId xmlns:a16="http://schemas.microsoft.com/office/drawing/2014/main" id="{A10197B6-9D3E-7BED-3616-147D33C38C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K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31380" y="24612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350520</xdr:colOff>
      <xdr:row>2</xdr:row>
      <xdr:rowOff>60960</xdr:rowOff>
    </xdr:from>
    <xdr:to>
      <xdr:col>9</xdr:col>
      <xdr:colOff>579120</xdr:colOff>
      <xdr:row>15</xdr:row>
      <xdr:rowOff>150495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AN">
              <a:extLst>
                <a:ext uri="{FF2B5EF4-FFF2-40B4-BE49-F238E27FC236}">
                  <a16:creationId xmlns:a16="http://schemas.microsoft.com/office/drawing/2014/main" id="{88FED716-CE40-6AD7-4733-5EBB782F5D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14460" y="4267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1</xdr:row>
      <xdr:rowOff>15240</xdr:rowOff>
    </xdr:from>
    <xdr:to>
      <xdr:col>10</xdr:col>
      <xdr:colOff>91440</xdr:colOff>
      <xdr:row>16</xdr:row>
      <xdr:rowOff>15240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8C7DAD0-ED8A-50FA-2B16-6C8013EFD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601980</xdr:colOff>
      <xdr:row>16</xdr:row>
      <xdr:rowOff>45720</xdr:rowOff>
    </xdr:from>
    <xdr:to>
      <xdr:col>12</xdr:col>
      <xdr:colOff>601980</xdr:colOff>
      <xdr:row>29</xdr:row>
      <xdr:rowOff>135255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ÜRÜN ADI 1">
              <a:extLst>
                <a:ext uri="{FF2B5EF4-FFF2-40B4-BE49-F238E27FC236}">
                  <a16:creationId xmlns:a16="http://schemas.microsoft.com/office/drawing/2014/main" id="{41E93404-5A69-6517-FD21-7723A20A05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ÜRÜN ADI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2280" y="29718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167640</xdr:colOff>
      <xdr:row>2</xdr:row>
      <xdr:rowOff>76200</xdr:rowOff>
    </xdr:from>
    <xdr:to>
      <xdr:col>16</xdr:col>
      <xdr:colOff>167640</xdr:colOff>
      <xdr:row>15</xdr:row>
      <xdr:rowOff>165735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ARKA 1">
              <a:extLst>
                <a:ext uri="{FF2B5EF4-FFF2-40B4-BE49-F238E27FC236}">
                  <a16:creationId xmlns:a16="http://schemas.microsoft.com/office/drawing/2014/main" id="{60BF7124-0263-B346-7AEE-11A72D6B1C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K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16340" y="4419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144780</xdr:colOff>
      <xdr:row>2</xdr:row>
      <xdr:rowOff>76200</xdr:rowOff>
    </xdr:from>
    <xdr:to>
      <xdr:col>13</xdr:col>
      <xdr:colOff>144780</xdr:colOff>
      <xdr:row>15</xdr:row>
      <xdr:rowOff>165735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AN 1">
              <a:extLst>
                <a:ext uri="{FF2B5EF4-FFF2-40B4-BE49-F238E27FC236}">
                  <a16:creationId xmlns:a16="http://schemas.microsoft.com/office/drawing/2014/main" id="{F28C4B0E-1A75-F2A6-C74C-3137A109F3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64680" y="4419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2</xdr:col>
      <xdr:colOff>106680</xdr:colOff>
      <xdr:row>19</xdr:row>
      <xdr:rowOff>76200</xdr:rowOff>
    </xdr:from>
    <xdr:to>
      <xdr:col>9</xdr:col>
      <xdr:colOff>411480</xdr:colOff>
      <xdr:row>34</xdr:row>
      <xdr:rowOff>76200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D54A6CB1-01DB-2DE9-C156-690D7D396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an" refreshedDate="46035.62894884259" createdVersion="8" refreshedVersion="8" minRefreshableVersion="3" recordCount="44" xr:uid="{5F1EEF10-5F88-455D-ABE0-21C9100F699D}">
  <cacheSource type="worksheet">
    <worksheetSource ref="A1:G45" sheet="Sayfa1"/>
  </cacheSource>
  <cacheFields count="9">
    <cacheField name="ÜRÜN ADI" numFmtId="0">
      <sharedItems count="2">
        <s v="CD-ROM"/>
        <s v="COMPUTER"/>
      </sharedItems>
    </cacheField>
    <cacheField name="MARKA" numFmtId="0">
      <sharedItems count="8">
        <s v=" CREATİVE"/>
        <s v="CREATİVE"/>
        <s v="STAR"/>
        <s v="HP"/>
        <s v="DİGİTAL"/>
        <s v="IBM"/>
        <s v="TATUNG"/>
        <s v="PACKARD BELL"/>
      </sharedItems>
    </cacheField>
    <cacheField name="AN" numFmtId="0">
      <sharedItems count="7">
        <s v="İZMİR"/>
        <s v="ADANA"/>
        <s v="ESKİŞEHİR"/>
        <s v="SAMSUN"/>
        <s v="ANTALYA"/>
        <s v="ANKARA"/>
        <s v="İSTANBUL"/>
      </sharedItems>
    </cacheField>
    <cacheField name="ADET" numFmtId="0">
      <sharedItems containsString="0" containsBlank="1" containsNumber="1" containsInteger="1" minValue="3" maxValue="56" count="12">
        <n v="10"/>
        <n v="20"/>
        <n v="32"/>
        <n v="5"/>
        <n v="3"/>
        <m/>
        <n v="4"/>
        <n v="15"/>
        <n v="56"/>
        <n v="25"/>
        <n v="8"/>
        <n v="7"/>
      </sharedItems>
    </cacheField>
    <cacheField name="FİYAT" numFmtId="0">
      <sharedItems containsSemiMixedTypes="0" containsString="0" containsNumber="1" containsInteger="1" minValue="390" maxValue="3500" count="14">
        <n v="396"/>
        <n v="462"/>
        <n v="528"/>
        <n v="660"/>
        <n v="390"/>
        <n v="2850"/>
        <n v="2000"/>
        <n v="3250"/>
        <n v="3200"/>
        <n v="3500"/>
        <n v="1850"/>
        <n v="2500"/>
        <n v="1000"/>
        <n v="3000"/>
      </sharedItems>
      <fieldGroup base="4">
        <rangePr startNum="390" endNum="3500" groupInterval="500"/>
        <groupItems count="9">
          <s v="&lt;390"/>
          <s v="390-889"/>
          <s v="890-1389"/>
          <s v="1390-1889"/>
          <s v="1890-2389"/>
          <s v="2390-2889"/>
          <s v="2890-3389"/>
          <s v="3390-3889"/>
          <s v="&gt;3890"/>
        </groupItems>
      </fieldGroup>
    </cacheField>
    <cacheField name="TUTAR" numFmtId="0">
      <sharedItems containsSemiMixedTypes="0" containsString="0" containsNumber="1" containsInteger="1" minValue="0" maxValue="182000" count="25">
        <n v="3960"/>
        <n v="4620"/>
        <n v="7920"/>
        <n v="12672"/>
        <n v="2640"/>
        <n v="1980"/>
        <n v="1386"/>
        <n v="12480"/>
        <n v="1584"/>
        <n v="14784"/>
        <n v="1188"/>
        <n v="0"/>
        <n v="5280"/>
        <n v="6600"/>
        <n v="9240"/>
        <n v="1950"/>
        <n v="11400"/>
        <n v="30000"/>
        <n v="182000"/>
        <n v="80000"/>
        <n v="28000"/>
        <n v="27750"/>
        <n v="25000"/>
        <n v="7000"/>
        <n v="50000"/>
      </sharedItems>
    </cacheField>
    <cacheField name="TARİH" numFmtId="14">
      <sharedItems containsSemiMixedTypes="0" containsNonDate="0" containsDate="1" containsString="0" minDate="2019-02-21T00:00:00" maxDate="2020-12-10T00:00:00" count="42">
        <d v="2020-06-05T00:00:00"/>
        <d v="2019-12-14T00:00:00"/>
        <d v="2019-09-11T00:00:00"/>
        <d v="2019-05-25T00:00:00"/>
        <d v="2019-02-21T00:00:00"/>
        <d v="2020-06-02T00:00:00"/>
        <d v="2020-04-28T00:00:00"/>
        <d v="2020-09-18T00:00:00"/>
        <d v="2020-11-18T00:00:00"/>
        <d v="2020-06-27T00:00:00"/>
        <d v="2020-07-11T00:00:00"/>
        <d v="2019-10-23T00:00:00"/>
        <d v="2020-05-19T00:00:00"/>
        <d v="2020-10-17T00:00:00"/>
        <d v="2020-09-28T00:00:00"/>
        <d v="2020-12-09T00:00:00"/>
        <d v="2020-10-01T00:00:00"/>
        <d v="2020-02-26T00:00:00"/>
        <d v="2020-02-17T00:00:00"/>
        <d v="2020-07-08T00:00:00"/>
        <d v="2020-11-23T00:00:00"/>
        <d v="2020-11-28T00:00:00"/>
        <d v="2020-09-25T00:00:00"/>
        <d v="2020-01-08T00:00:00"/>
        <d v="2020-02-03T00:00:00"/>
        <d v="2019-10-17T00:00:00"/>
        <d v="2019-07-28T00:00:00"/>
        <d v="2019-09-27T00:00:00"/>
        <d v="2019-12-19T00:00:00"/>
        <d v="2019-09-26T00:00:00"/>
        <d v="2020-01-27T00:00:00"/>
        <d v="2019-11-03T00:00:00"/>
        <d v="2020-02-08T00:00:00"/>
        <d v="2020-10-19T00:00:00"/>
        <d v="2020-11-17T00:00:00"/>
        <d v="2020-01-09T00:00:00"/>
        <d v="2020-02-29T00:00:00"/>
        <d v="2019-06-23T00:00:00"/>
        <d v="2020-05-08T00:00:00"/>
        <d v="2020-08-20T00:00:00"/>
        <d v="2020-07-22T00:00:00"/>
        <d v="2020-07-17T00:00:00"/>
      </sharedItems>
      <fieldGroup par="8"/>
    </cacheField>
    <cacheField name="Ay (TARİH)" numFmtId="0" databaseField="0">
      <fieldGroup base="6">
        <rangePr groupBy="months" startDate="2019-02-21T00:00:00" endDate="2020-12-10T00:00:00"/>
        <groupItems count="14">
          <s v="&lt;21.02.2019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10.12.2020"/>
        </groupItems>
      </fieldGroup>
    </cacheField>
    <cacheField name="Yıl (TARİH)" numFmtId="0" databaseField="0">
      <fieldGroup base="6">
        <rangePr groupBy="years" startDate="2019-02-21T00:00:00" endDate="2020-12-10T00:00:00"/>
        <groupItems count="4">
          <s v="&lt;21.02.2019"/>
          <s v="2019"/>
          <s v="2020"/>
          <s v="&gt;10.12.2020"/>
        </groupItems>
      </fieldGroup>
    </cacheField>
  </cacheFields>
  <extLst>
    <ext xmlns:x14="http://schemas.microsoft.com/office/spreadsheetml/2009/9/main" uri="{725AE2AE-9491-48be-B2B4-4EB974FC3084}">
      <x14:pivotCacheDefinition pivotCacheId="11187928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x v="0"/>
    <x v="0"/>
    <x v="0"/>
    <x v="0"/>
    <x v="0"/>
    <x v="0"/>
  </r>
  <r>
    <x v="0"/>
    <x v="1"/>
    <x v="1"/>
    <x v="0"/>
    <x v="1"/>
    <x v="1"/>
    <x v="1"/>
  </r>
  <r>
    <x v="0"/>
    <x v="1"/>
    <x v="2"/>
    <x v="1"/>
    <x v="0"/>
    <x v="2"/>
    <x v="2"/>
  </r>
  <r>
    <x v="0"/>
    <x v="1"/>
    <x v="3"/>
    <x v="2"/>
    <x v="0"/>
    <x v="3"/>
    <x v="3"/>
  </r>
  <r>
    <x v="0"/>
    <x v="1"/>
    <x v="4"/>
    <x v="3"/>
    <x v="2"/>
    <x v="4"/>
    <x v="4"/>
  </r>
  <r>
    <x v="0"/>
    <x v="1"/>
    <x v="3"/>
    <x v="4"/>
    <x v="3"/>
    <x v="5"/>
    <x v="5"/>
  </r>
  <r>
    <x v="0"/>
    <x v="1"/>
    <x v="3"/>
    <x v="4"/>
    <x v="1"/>
    <x v="6"/>
    <x v="6"/>
  </r>
  <r>
    <x v="0"/>
    <x v="1"/>
    <x v="3"/>
    <x v="2"/>
    <x v="4"/>
    <x v="7"/>
    <x v="7"/>
  </r>
  <r>
    <x v="0"/>
    <x v="1"/>
    <x v="4"/>
    <x v="3"/>
    <x v="2"/>
    <x v="4"/>
    <x v="8"/>
  </r>
  <r>
    <x v="0"/>
    <x v="1"/>
    <x v="3"/>
    <x v="4"/>
    <x v="3"/>
    <x v="5"/>
    <x v="9"/>
  </r>
  <r>
    <x v="0"/>
    <x v="1"/>
    <x v="3"/>
    <x v="4"/>
    <x v="1"/>
    <x v="6"/>
    <x v="10"/>
  </r>
  <r>
    <x v="0"/>
    <x v="1"/>
    <x v="3"/>
    <x v="3"/>
    <x v="0"/>
    <x v="5"/>
    <x v="11"/>
  </r>
  <r>
    <x v="0"/>
    <x v="1"/>
    <x v="4"/>
    <x v="4"/>
    <x v="2"/>
    <x v="8"/>
    <x v="12"/>
  </r>
  <r>
    <x v="0"/>
    <x v="1"/>
    <x v="3"/>
    <x v="4"/>
    <x v="3"/>
    <x v="5"/>
    <x v="13"/>
  </r>
  <r>
    <x v="0"/>
    <x v="1"/>
    <x v="3"/>
    <x v="2"/>
    <x v="1"/>
    <x v="9"/>
    <x v="14"/>
  </r>
  <r>
    <x v="0"/>
    <x v="1"/>
    <x v="0"/>
    <x v="3"/>
    <x v="0"/>
    <x v="5"/>
    <x v="15"/>
  </r>
  <r>
    <x v="0"/>
    <x v="1"/>
    <x v="1"/>
    <x v="4"/>
    <x v="1"/>
    <x v="6"/>
    <x v="16"/>
  </r>
  <r>
    <x v="0"/>
    <x v="1"/>
    <x v="2"/>
    <x v="4"/>
    <x v="0"/>
    <x v="10"/>
    <x v="17"/>
  </r>
  <r>
    <x v="0"/>
    <x v="2"/>
    <x v="3"/>
    <x v="5"/>
    <x v="0"/>
    <x v="11"/>
    <x v="18"/>
  </r>
  <r>
    <x v="0"/>
    <x v="2"/>
    <x v="4"/>
    <x v="0"/>
    <x v="2"/>
    <x v="12"/>
    <x v="19"/>
  </r>
  <r>
    <x v="0"/>
    <x v="2"/>
    <x v="4"/>
    <x v="0"/>
    <x v="3"/>
    <x v="13"/>
    <x v="20"/>
  </r>
  <r>
    <x v="0"/>
    <x v="2"/>
    <x v="3"/>
    <x v="1"/>
    <x v="1"/>
    <x v="14"/>
    <x v="21"/>
  </r>
  <r>
    <x v="0"/>
    <x v="2"/>
    <x v="3"/>
    <x v="2"/>
    <x v="0"/>
    <x v="3"/>
    <x v="22"/>
  </r>
  <r>
    <x v="0"/>
    <x v="2"/>
    <x v="3"/>
    <x v="3"/>
    <x v="2"/>
    <x v="4"/>
    <x v="23"/>
  </r>
  <r>
    <x v="0"/>
    <x v="2"/>
    <x v="4"/>
    <x v="4"/>
    <x v="3"/>
    <x v="5"/>
    <x v="24"/>
  </r>
  <r>
    <x v="0"/>
    <x v="2"/>
    <x v="3"/>
    <x v="4"/>
    <x v="1"/>
    <x v="6"/>
    <x v="25"/>
  </r>
  <r>
    <x v="0"/>
    <x v="2"/>
    <x v="3"/>
    <x v="3"/>
    <x v="2"/>
    <x v="4"/>
    <x v="26"/>
  </r>
  <r>
    <x v="0"/>
    <x v="2"/>
    <x v="5"/>
    <x v="4"/>
    <x v="3"/>
    <x v="5"/>
    <x v="27"/>
  </r>
  <r>
    <x v="0"/>
    <x v="2"/>
    <x v="0"/>
    <x v="2"/>
    <x v="1"/>
    <x v="9"/>
    <x v="28"/>
  </r>
  <r>
    <x v="0"/>
    <x v="2"/>
    <x v="6"/>
    <x v="3"/>
    <x v="4"/>
    <x v="15"/>
    <x v="29"/>
  </r>
  <r>
    <x v="0"/>
    <x v="2"/>
    <x v="6"/>
    <x v="4"/>
    <x v="2"/>
    <x v="8"/>
    <x v="30"/>
  </r>
  <r>
    <x v="0"/>
    <x v="2"/>
    <x v="5"/>
    <x v="4"/>
    <x v="3"/>
    <x v="5"/>
    <x v="31"/>
  </r>
  <r>
    <x v="0"/>
    <x v="2"/>
    <x v="6"/>
    <x v="0"/>
    <x v="1"/>
    <x v="1"/>
    <x v="32"/>
  </r>
  <r>
    <x v="0"/>
    <x v="2"/>
    <x v="3"/>
    <x v="6"/>
    <x v="5"/>
    <x v="16"/>
    <x v="33"/>
  </r>
  <r>
    <x v="0"/>
    <x v="2"/>
    <x v="3"/>
    <x v="7"/>
    <x v="6"/>
    <x v="17"/>
    <x v="34"/>
  </r>
  <r>
    <x v="0"/>
    <x v="2"/>
    <x v="6"/>
    <x v="8"/>
    <x v="7"/>
    <x v="18"/>
    <x v="35"/>
  </r>
  <r>
    <x v="1"/>
    <x v="3"/>
    <x v="5"/>
    <x v="7"/>
    <x v="6"/>
    <x v="17"/>
    <x v="36"/>
  </r>
  <r>
    <x v="1"/>
    <x v="4"/>
    <x v="5"/>
    <x v="9"/>
    <x v="8"/>
    <x v="19"/>
    <x v="37"/>
  </r>
  <r>
    <x v="1"/>
    <x v="5"/>
    <x v="0"/>
    <x v="10"/>
    <x v="9"/>
    <x v="20"/>
    <x v="38"/>
  </r>
  <r>
    <x v="1"/>
    <x v="6"/>
    <x v="2"/>
    <x v="7"/>
    <x v="10"/>
    <x v="21"/>
    <x v="18"/>
  </r>
  <r>
    <x v="1"/>
    <x v="3"/>
    <x v="2"/>
    <x v="0"/>
    <x v="11"/>
    <x v="22"/>
    <x v="13"/>
  </r>
  <r>
    <x v="1"/>
    <x v="7"/>
    <x v="0"/>
    <x v="11"/>
    <x v="12"/>
    <x v="23"/>
    <x v="39"/>
  </r>
  <r>
    <x v="1"/>
    <x v="6"/>
    <x v="6"/>
    <x v="0"/>
    <x v="13"/>
    <x v="17"/>
    <x v="40"/>
  </r>
  <r>
    <x v="1"/>
    <x v="3"/>
    <x v="5"/>
    <x v="1"/>
    <x v="11"/>
    <x v="24"/>
    <x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2BBF0-865C-410C-AB7C-19CFF4BF1C8E}" name="PivotTable2" cacheId="124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outline="1" outlineData="1" compactData="0" multipleFieldFilters="0">
  <location ref="A3:F29" firstHeaderRow="0" firstDataRow="1" firstDataCol="2"/>
  <pivotFields count="9">
    <pivotField compact="0" showAll="0">
      <items count="3">
        <item x="0"/>
        <item x="1"/>
        <item t="default"/>
      </items>
    </pivotField>
    <pivotField axis="axisRow" dataField="1" compact="0" showAll="0">
      <items count="9">
        <item x="0"/>
        <item x="1"/>
        <item x="4"/>
        <item x="3"/>
        <item x="5"/>
        <item x="7"/>
        <item x="2"/>
        <item x="6"/>
        <item t="default"/>
      </items>
    </pivotField>
    <pivotField axis="axisRow" compact="0" showAll="0">
      <items count="8">
        <item x="1"/>
        <item x="5"/>
        <item x="4"/>
        <item x="2"/>
        <item x="6"/>
        <item x="0"/>
        <item x="3"/>
        <item t="default"/>
      </items>
    </pivotField>
    <pivotField dataField="1" compact="0" showAll="0">
      <items count="13">
        <item x="4"/>
        <item x="6"/>
        <item x="3"/>
        <item x="11"/>
        <item x="10"/>
        <item x="0"/>
        <item x="7"/>
        <item x="1"/>
        <item x="9"/>
        <item x="2"/>
        <item x="8"/>
        <item x="5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showAll="0"/>
    <pivotField compact="0" numFmtId="14" showAll="0">
      <items count="43">
        <item x="4"/>
        <item x="3"/>
        <item x="37"/>
        <item x="26"/>
        <item x="2"/>
        <item x="29"/>
        <item x="27"/>
        <item x="25"/>
        <item x="11"/>
        <item x="31"/>
        <item x="1"/>
        <item x="28"/>
        <item x="23"/>
        <item x="35"/>
        <item x="30"/>
        <item x="24"/>
        <item x="32"/>
        <item x="18"/>
        <item x="17"/>
        <item x="36"/>
        <item x="6"/>
        <item x="38"/>
        <item x="12"/>
        <item x="5"/>
        <item x="0"/>
        <item x="9"/>
        <item x="19"/>
        <item x="10"/>
        <item x="41"/>
        <item x="40"/>
        <item x="39"/>
        <item x="7"/>
        <item x="22"/>
        <item x="14"/>
        <item x="16"/>
        <item x="13"/>
        <item x="33"/>
        <item x="34"/>
        <item x="8"/>
        <item x="20"/>
        <item x="21"/>
        <item x="15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2">
    <field x="2"/>
    <field x="1"/>
  </rowFields>
  <rowItems count="26">
    <i>
      <x/>
    </i>
    <i r="1">
      <x v="1"/>
    </i>
    <i>
      <x v="1"/>
    </i>
    <i r="1">
      <x v="2"/>
    </i>
    <i r="1">
      <x v="3"/>
    </i>
    <i r="1">
      <x v="6"/>
    </i>
    <i>
      <x v="2"/>
    </i>
    <i r="1">
      <x v="1"/>
    </i>
    <i r="1">
      <x v="6"/>
    </i>
    <i>
      <x v="3"/>
    </i>
    <i r="1">
      <x v="1"/>
    </i>
    <i r="1">
      <x v="3"/>
    </i>
    <i r="1">
      <x v="7"/>
    </i>
    <i>
      <x v="4"/>
    </i>
    <i r="1">
      <x v="6"/>
    </i>
    <i r="1">
      <x v="7"/>
    </i>
    <i>
      <x v="5"/>
    </i>
    <i r="1">
      <x/>
    </i>
    <i r="1">
      <x v="1"/>
    </i>
    <i r="1">
      <x v="4"/>
    </i>
    <i r="1">
      <x v="5"/>
    </i>
    <i r="1">
      <x v="6"/>
    </i>
    <i>
      <x v="6"/>
    </i>
    <i r="1">
      <x v="1"/>
    </i>
    <i r="1"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plam TUTAR" fld="5" baseField="9" baseItem="1048828" numFmtId="164"/>
    <dataField name="%LİK TOPLAM" fld="5" baseField="0" baseItem="0"/>
    <dataField name="Toplam ADET" fld="3" baseField="0" baseItem="0"/>
    <dataField name="Say MARKA" fld="1" subtotal="count" baseField="0" baseItem="0"/>
  </dataFields>
  <formats count="3">
    <format dxfId="9">
      <pivotArea dataOnly="0" labelOnly="1" outline="0" fieldPosition="0">
        <references count="2">
          <reference field="1" count="1">
            <x v="1"/>
          </reference>
          <reference field="2" count="1" selected="0">
            <x v="0"/>
          </reference>
        </references>
      </pivotArea>
    </format>
    <format dxfId="10">
      <pivotArea outline="0" fieldPosition="0">
        <references count="1">
          <reference field="4294967294" count="1">
            <x v="0"/>
          </reference>
        </references>
      </pivotArea>
    </format>
    <format dxfId="11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FC645-16F2-497C-B1BA-EEAE2827A368}" name="PivotTable4" cacheId="124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B11" firstHeaderRow="1" firstDataRow="1" firstDataCol="1"/>
  <pivotFields count="9">
    <pivotField showAll="0"/>
    <pivotField showAll="0"/>
    <pivotField showAll="0"/>
    <pivotField showAll="0">
      <items count="13">
        <item x="4"/>
        <item x="6"/>
        <item x="3"/>
        <item x="11"/>
        <item x="10"/>
        <item x="0"/>
        <item x="7"/>
        <item x="1"/>
        <item x="9"/>
        <item x="2"/>
        <item x="8"/>
        <item x="5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numFmtId="14" showAll="0">
      <items count="43">
        <item x="4"/>
        <item x="3"/>
        <item x="37"/>
        <item x="26"/>
        <item x="2"/>
        <item x="29"/>
        <item x="27"/>
        <item x="25"/>
        <item x="11"/>
        <item x="31"/>
        <item x="1"/>
        <item x="28"/>
        <item x="23"/>
        <item x="35"/>
        <item x="30"/>
        <item x="24"/>
        <item x="32"/>
        <item x="18"/>
        <item x="17"/>
        <item x="36"/>
        <item x="6"/>
        <item x="38"/>
        <item x="12"/>
        <item x="5"/>
        <item x="0"/>
        <item x="9"/>
        <item x="19"/>
        <item x="10"/>
        <item x="41"/>
        <item x="40"/>
        <item x="39"/>
        <item x="7"/>
        <item x="22"/>
        <item x="14"/>
        <item x="16"/>
        <item x="13"/>
        <item x="33"/>
        <item x="34"/>
        <item x="8"/>
        <item x="20"/>
        <item x="21"/>
        <item x="1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Toplam TUTAR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1E573-7CF0-41E1-8B95-1D00D2265E01}" name="PivotTable7" cacheId="124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outline="1" outlineData="1" compactData="0" multipleFieldFilters="0">
  <location ref="A3:C18" firstHeaderRow="1" firstDataRow="1" firstDataCol="2" rowPageCount="1" colPageCount="1"/>
  <pivotFields count="9">
    <pivotField axis="axisPage" compact="0" showAll="0">
      <items count="3">
        <item x="0"/>
        <item x="1"/>
        <item t="default"/>
      </items>
    </pivotField>
    <pivotField axis="axisRow" compact="0" showAll="0">
      <items count="9">
        <item x="0"/>
        <item x="1"/>
        <item x="4"/>
        <item x="3"/>
        <item x="5"/>
        <item x="7"/>
        <item x="2"/>
        <item x="6"/>
        <item t="default"/>
      </items>
    </pivotField>
    <pivotField axis="axisRow" compact="0" showAll="0">
      <items count="8">
        <item x="1"/>
        <item x="5"/>
        <item x="4"/>
        <item x="2"/>
        <item x="6"/>
        <item x="0"/>
        <item x="3"/>
        <item t="default"/>
      </items>
    </pivotField>
    <pivotField compact="0" showAll="0"/>
    <pivotField dataField="1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/>
    <pivotField compact="0" numFmtId="14" showAll="0">
      <items count="43">
        <item x="4"/>
        <item x="3"/>
        <item x="37"/>
        <item x="26"/>
        <item x="2"/>
        <item x="29"/>
        <item x="27"/>
        <item x="25"/>
        <item x="11"/>
        <item x="31"/>
        <item x="1"/>
        <item x="28"/>
        <item x="23"/>
        <item x="35"/>
        <item x="30"/>
        <item x="24"/>
        <item x="32"/>
        <item x="18"/>
        <item x="17"/>
        <item x="36"/>
        <item x="6"/>
        <item x="38"/>
        <item x="12"/>
        <item x="5"/>
        <item x="0"/>
        <item x="9"/>
        <item x="19"/>
        <item x="10"/>
        <item x="41"/>
        <item x="40"/>
        <item x="39"/>
        <item x="7"/>
        <item x="22"/>
        <item x="14"/>
        <item x="16"/>
        <item x="13"/>
        <item x="33"/>
        <item x="34"/>
        <item x="8"/>
        <item x="20"/>
        <item x="21"/>
        <item x="15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2">
    <field x="1"/>
    <field x="2"/>
  </rowFields>
  <rowItems count="15">
    <i>
      <x/>
    </i>
    <i r="1">
      <x v="5"/>
    </i>
    <i>
      <x v="1"/>
    </i>
    <i r="1">
      <x/>
    </i>
    <i r="1">
      <x v="2"/>
    </i>
    <i r="1">
      <x v="3"/>
    </i>
    <i r="1">
      <x v="5"/>
    </i>
    <i r="1">
      <x v="6"/>
    </i>
    <i>
      <x v="6"/>
    </i>
    <i r="1">
      <x v="1"/>
    </i>
    <i r="1">
      <x v="2"/>
    </i>
    <i r="1">
      <x v="4"/>
    </i>
    <i r="1">
      <x v="5"/>
    </i>
    <i r="1">
      <x v="6"/>
    </i>
    <i t="grand">
      <x/>
    </i>
  </rowItems>
  <colItems count="1">
    <i/>
  </colItems>
  <pageFields count="1">
    <pageField fld="0" item="0" hier="-1"/>
  </pageFields>
  <dataFields count="1">
    <dataField name="Toplam FİYAT" fld="4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1E573-7CF0-41E1-8B95-1D00D2265E01}" name="PivotTable6" cacheId="124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outline="1" outlineData="1" compactData="0" multipleFieldFilters="0">
  <location ref="A3:C16" firstHeaderRow="1" firstDataRow="1" firstDataCol="2" rowPageCount="1" colPageCount="1"/>
  <pivotFields count="9">
    <pivotField axis="axisPage" compact="0" showAll="0">
      <items count="3">
        <item x="0"/>
        <item x="1"/>
        <item t="default"/>
      </items>
    </pivotField>
    <pivotField axis="axisRow" compact="0" showAll="0">
      <items count="9">
        <item x="0"/>
        <item x="1"/>
        <item x="4"/>
        <item x="3"/>
        <item x="5"/>
        <item x="7"/>
        <item x="2"/>
        <item x="6"/>
        <item t="default"/>
      </items>
    </pivotField>
    <pivotField axis="axisRow" compact="0" showAll="0">
      <items count="8">
        <item x="1"/>
        <item x="5"/>
        <item x="4"/>
        <item x="2"/>
        <item x="6"/>
        <item x="0"/>
        <item x="3"/>
        <item t="default"/>
      </items>
    </pivotField>
    <pivotField compact="0" showAll="0"/>
    <pivotField dataField="1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/>
    <pivotField compact="0" numFmtId="14" showAll="0">
      <items count="43">
        <item x="4"/>
        <item x="3"/>
        <item x="37"/>
        <item x="26"/>
        <item x="2"/>
        <item x="29"/>
        <item x="27"/>
        <item x="25"/>
        <item x="11"/>
        <item x="31"/>
        <item x="1"/>
        <item x="28"/>
        <item x="23"/>
        <item x="35"/>
        <item x="30"/>
        <item x="24"/>
        <item x="32"/>
        <item x="18"/>
        <item x="17"/>
        <item x="36"/>
        <item x="6"/>
        <item x="38"/>
        <item x="12"/>
        <item x="5"/>
        <item x="0"/>
        <item x="9"/>
        <item x="19"/>
        <item x="10"/>
        <item x="41"/>
        <item x="40"/>
        <item x="39"/>
        <item x="7"/>
        <item x="22"/>
        <item x="14"/>
        <item x="16"/>
        <item x="13"/>
        <item x="33"/>
        <item x="34"/>
        <item x="8"/>
        <item x="20"/>
        <item x="21"/>
        <item x="15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2">
    <field x="1"/>
    <field x="2"/>
  </rowFields>
  <rowItems count="13">
    <i>
      <x v="2"/>
    </i>
    <i r="1">
      <x v="1"/>
    </i>
    <i>
      <x v="3"/>
    </i>
    <i r="1">
      <x v="1"/>
    </i>
    <i r="1">
      <x v="3"/>
    </i>
    <i>
      <x v="4"/>
    </i>
    <i r="1">
      <x v="5"/>
    </i>
    <i>
      <x v="5"/>
    </i>
    <i r="1">
      <x v="5"/>
    </i>
    <i>
      <x v="7"/>
    </i>
    <i r="1">
      <x v="3"/>
    </i>
    <i r="1">
      <x v="4"/>
    </i>
    <i t="grand">
      <x/>
    </i>
  </rowItems>
  <colItems count="1">
    <i/>
  </colItems>
  <pageFields count="1">
    <pageField fld="0" item="1" hier="-1"/>
  </pageFields>
  <dataFields count="1">
    <dataField name="Toplam FİYAT" fld="4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1E573-7CF0-41E1-8B95-1D00D2265E01}" name="PivotTable5" cacheId="124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outline="1" outlineData="1" compactData="0" multipleFieldFilters="0">
  <location ref="A3:F98" firstHeaderRow="1" firstDataRow="1" firstDataCol="5" rowPageCount="1" colPageCount="1"/>
  <pivotFields count="9">
    <pivotField axis="axisPage" compact="0" showAll="0">
      <items count="3">
        <item x="0"/>
        <item x="1"/>
        <item t="default"/>
      </items>
    </pivotField>
    <pivotField axis="axisRow" compact="0" showAll="0">
      <items count="9">
        <item x="0"/>
        <item x="1"/>
        <item x="4"/>
        <item x="3"/>
        <item x="5"/>
        <item x="7"/>
        <item x="2"/>
        <item x="6"/>
        <item t="default"/>
      </items>
    </pivotField>
    <pivotField axis="axisRow" compact="0" showAll="0">
      <items count="8">
        <item x="1"/>
        <item sd="0" x="5"/>
        <item x="4"/>
        <item x="2"/>
        <item sd="0" x="6"/>
        <item sd="0" x="0"/>
        <item x="3"/>
        <item t="default" sd="0"/>
      </items>
    </pivotField>
    <pivotField compact="0" showAll="0"/>
    <pivotField dataField="1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/>
    <pivotField axis="axisRow" compact="0" numFmtId="14" showAll="0">
      <items count="43">
        <item x="4"/>
        <item x="3"/>
        <item x="37"/>
        <item x="26"/>
        <item x="2"/>
        <item x="29"/>
        <item x="27"/>
        <item x="25"/>
        <item x="11"/>
        <item x="31"/>
        <item x="1"/>
        <item x="28"/>
        <item x="23"/>
        <item x="35"/>
        <item x="30"/>
        <item x="24"/>
        <item x="32"/>
        <item x="18"/>
        <item x="17"/>
        <item x="36"/>
        <item x="6"/>
        <item x="38"/>
        <item x="12"/>
        <item x="5"/>
        <item x="0"/>
        <item x="9"/>
        <item x="19"/>
        <item x="10"/>
        <item x="41"/>
        <item x="40"/>
        <item x="39"/>
        <item x="7"/>
        <item x="22"/>
        <item x="14"/>
        <item x="16"/>
        <item x="13"/>
        <item x="33"/>
        <item x="34"/>
        <item x="8"/>
        <item x="20"/>
        <item x="21"/>
        <item x="15"/>
        <item t="default"/>
      </items>
    </pivotField>
    <pivotField axis="axisRow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</pivotFields>
  <rowFields count="5">
    <field x="1"/>
    <field x="2"/>
    <field x="8"/>
    <field x="7"/>
    <field x="6"/>
  </rowFields>
  <rowItems count="95">
    <i>
      <x/>
    </i>
    <i r="1">
      <x v="5"/>
    </i>
    <i>
      <x v="1"/>
    </i>
    <i r="1">
      <x/>
    </i>
    <i r="2">
      <x v="1"/>
    </i>
    <i r="3">
      <x v="12"/>
    </i>
    <i r="4">
      <x v="10"/>
    </i>
    <i r="2">
      <x v="2"/>
    </i>
    <i r="3">
      <x v="10"/>
    </i>
    <i r="4">
      <x v="34"/>
    </i>
    <i r="1">
      <x v="2"/>
    </i>
    <i r="2">
      <x v="1"/>
    </i>
    <i r="3">
      <x v="2"/>
    </i>
    <i r="4">
      <x/>
    </i>
    <i r="2">
      <x v="2"/>
    </i>
    <i r="3">
      <x v="5"/>
    </i>
    <i r="4">
      <x v="22"/>
    </i>
    <i r="3">
      <x v="11"/>
    </i>
    <i r="4">
      <x v="38"/>
    </i>
    <i r="1">
      <x v="3"/>
    </i>
    <i r="2">
      <x v="1"/>
    </i>
    <i r="3">
      <x v="9"/>
    </i>
    <i r="4">
      <x v="4"/>
    </i>
    <i r="2">
      <x v="2"/>
    </i>
    <i r="3">
      <x v="2"/>
    </i>
    <i r="4">
      <x v="18"/>
    </i>
    <i r="1">
      <x v="5"/>
    </i>
    <i r="1">
      <x v="6"/>
    </i>
    <i r="2">
      <x v="1"/>
    </i>
    <i r="3">
      <x v="5"/>
    </i>
    <i r="4">
      <x v="1"/>
    </i>
    <i r="3">
      <x v="10"/>
    </i>
    <i r="4">
      <x v="8"/>
    </i>
    <i r="2">
      <x v="2"/>
    </i>
    <i r="3">
      <x v="4"/>
    </i>
    <i r="4">
      <x v="20"/>
    </i>
    <i r="3">
      <x v="6"/>
    </i>
    <i r="4">
      <x v="23"/>
    </i>
    <i r="4">
      <x v="25"/>
    </i>
    <i r="3">
      <x v="7"/>
    </i>
    <i r="4">
      <x v="27"/>
    </i>
    <i r="3">
      <x v="9"/>
    </i>
    <i r="4">
      <x v="31"/>
    </i>
    <i r="4">
      <x v="33"/>
    </i>
    <i r="3">
      <x v="10"/>
    </i>
    <i r="4">
      <x v="35"/>
    </i>
    <i>
      <x v="2"/>
    </i>
    <i r="1">
      <x v="1"/>
    </i>
    <i>
      <x v="3"/>
    </i>
    <i r="1">
      <x v="1"/>
    </i>
    <i r="1">
      <x v="3"/>
    </i>
    <i r="2">
      <x v="2"/>
    </i>
    <i r="3">
      <x v="10"/>
    </i>
    <i r="4">
      <x v="35"/>
    </i>
    <i>
      <x v="4"/>
    </i>
    <i r="1">
      <x v="5"/>
    </i>
    <i>
      <x v="5"/>
    </i>
    <i r="1">
      <x v="5"/>
    </i>
    <i>
      <x v="6"/>
    </i>
    <i r="1">
      <x v="1"/>
    </i>
    <i r="1">
      <x v="2"/>
    </i>
    <i r="2">
      <x v="2"/>
    </i>
    <i r="3">
      <x v="2"/>
    </i>
    <i r="4">
      <x v="15"/>
    </i>
    <i r="3">
      <x v="7"/>
    </i>
    <i r="4">
      <x v="26"/>
    </i>
    <i r="3">
      <x v="11"/>
    </i>
    <i r="4">
      <x v="39"/>
    </i>
    <i r="1">
      <x v="4"/>
    </i>
    <i r="1">
      <x v="5"/>
    </i>
    <i r="1">
      <x v="6"/>
    </i>
    <i r="2">
      <x v="1"/>
    </i>
    <i r="3">
      <x v="7"/>
    </i>
    <i r="4">
      <x v="3"/>
    </i>
    <i r="3">
      <x v="10"/>
    </i>
    <i r="4">
      <x v="7"/>
    </i>
    <i r="2">
      <x v="2"/>
    </i>
    <i r="3">
      <x v="1"/>
    </i>
    <i r="4">
      <x v="12"/>
    </i>
    <i r="3">
      <x v="2"/>
    </i>
    <i r="4">
      <x v="17"/>
    </i>
    <i r="3">
      <x v="9"/>
    </i>
    <i r="4">
      <x v="32"/>
    </i>
    <i r="3">
      <x v="10"/>
    </i>
    <i r="4">
      <x v="36"/>
    </i>
    <i r="3">
      <x v="11"/>
    </i>
    <i r="4">
      <x v="37"/>
    </i>
    <i r="4">
      <x v="40"/>
    </i>
    <i>
      <x v="7"/>
    </i>
    <i r="1">
      <x v="3"/>
    </i>
    <i r="2">
      <x v="2"/>
    </i>
    <i r="3">
      <x v="2"/>
    </i>
    <i r="4">
      <x v="17"/>
    </i>
    <i r="1">
      <x v="4"/>
    </i>
    <i t="grand">
      <x/>
    </i>
  </rowItems>
  <colItems count="1">
    <i/>
  </colItems>
  <pageFields count="1">
    <pageField fld="0" hier="-1"/>
  </pageFields>
  <dataFields count="1">
    <dataField name="Toplam FİYAT" fld="4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4E8BD-F059-4868-8B4B-AA2EC5540288}" name="PivotTable8" cacheId="124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outline="1" outlineData="1" compactData="0" multipleFieldFilters="0">
  <location ref="A3:C29" firstHeaderRow="1" firstDataRow="1" firstDataCol="2"/>
  <pivotFields count="9">
    <pivotField compact="0" showAll="0"/>
    <pivotField axis="axisRow" compact="0" showAll="0">
      <items count="9">
        <item x="0"/>
        <item x="1"/>
        <item x="4"/>
        <item x="3"/>
        <item x="5"/>
        <item x="7"/>
        <item x="2"/>
        <item x="6"/>
        <item t="default"/>
      </items>
    </pivotField>
    <pivotField axis="axisRow" compact="0" showAll="0">
      <items count="8">
        <item x="1"/>
        <item x="5"/>
        <item x="4"/>
        <item x="2"/>
        <item x="6"/>
        <item x="0"/>
        <item x="3"/>
        <item t="default"/>
      </items>
    </pivotField>
    <pivotField compact="0" showAll="0">
      <items count="13">
        <item x="4"/>
        <item x="6"/>
        <item x="3"/>
        <item x="11"/>
        <item x="10"/>
        <item x="0"/>
        <item x="7"/>
        <item x="1"/>
        <item x="9"/>
        <item x="2"/>
        <item x="8"/>
        <item x="5"/>
        <item t="default"/>
      </items>
    </pivotField>
    <pivotField compact="0" showAll="0"/>
    <pivotField dataField="1" compact="0" showAll="0"/>
    <pivotField compact="0" numFmtId="14" showAll="0">
      <items count="43">
        <item x="4"/>
        <item x="3"/>
        <item x="37"/>
        <item x="26"/>
        <item x="2"/>
        <item x="29"/>
        <item x="27"/>
        <item x="25"/>
        <item x="11"/>
        <item x="31"/>
        <item x="1"/>
        <item x="28"/>
        <item x="23"/>
        <item x="35"/>
        <item x="30"/>
        <item x="24"/>
        <item x="32"/>
        <item x="18"/>
        <item x="17"/>
        <item x="36"/>
        <item x="6"/>
        <item x="38"/>
        <item x="12"/>
        <item x="5"/>
        <item x="0"/>
        <item x="9"/>
        <item x="19"/>
        <item x="10"/>
        <item x="41"/>
        <item x="40"/>
        <item x="39"/>
        <item x="7"/>
        <item x="22"/>
        <item x="14"/>
        <item x="16"/>
        <item x="13"/>
        <item x="33"/>
        <item x="34"/>
        <item x="8"/>
        <item x="20"/>
        <item x="21"/>
        <item x="15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2">
    <field x="2"/>
    <field x="1"/>
  </rowFields>
  <rowItems count="26">
    <i>
      <x/>
    </i>
    <i r="1">
      <x v="1"/>
    </i>
    <i>
      <x v="1"/>
    </i>
    <i r="1">
      <x v="2"/>
    </i>
    <i r="1">
      <x v="3"/>
    </i>
    <i r="1">
      <x v="6"/>
    </i>
    <i>
      <x v="2"/>
    </i>
    <i r="1">
      <x v="1"/>
    </i>
    <i r="1">
      <x v="6"/>
    </i>
    <i>
      <x v="3"/>
    </i>
    <i r="1">
      <x v="1"/>
    </i>
    <i r="1">
      <x v="3"/>
    </i>
    <i r="1">
      <x v="7"/>
    </i>
    <i>
      <x v="4"/>
    </i>
    <i r="1">
      <x v="6"/>
    </i>
    <i r="1">
      <x v="7"/>
    </i>
    <i>
      <x v="5"/>
    </i>
    <i r="1">
      <x/>
    </i>
    <i r="1">
      <x v="1"/>
    </i>
    <i r="1">
      <x v="4"/>
    </i>
    <i r="1">
      <x v="5"/>
    </i>
    <i r="1">
      <x v="6"/>
    </i>
    <i>
      <x v="6"/>
    </i>
    <i r="1">
      <x v="1"/>
    </i>
    <i r="1">
      <x v="6"/>
    </i>
    <i t="grand">
      <x/>
    </i>
  </rowItems>
  <colItems count="1">
    <i/>
  </colItems>
  <dataFields count="1">
    <dataField name="Toplam TUTAR" fld="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11F54-B20D-4273-A3C2-DEE2F997CD66}" name="PivotTable10" cacheId="124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5">
  <location ref="A19:B41" firstHeaderRow="1" firstDataRow="1" firstDataCol="1"/>
  <pivotFields count="9">
    <pivotField showAll="0">
      <items count="3">
        <item x="0"/>
        <item x="1"/>
        <item t="default"/>
      </items>
    </pivotField>
    <pivotField showAll="0">
      <items count="9">
        <item x="0"/>
        <item x="1"/>
        <item x="4"/>
        <item x="3"/>
        <item x="5"/>
        <item x="7"/>
        <item x="2"/>
        <item x="6"/>
        <item t="default"/>
      </items>
    </pivotField>
    <pivotField showAll="0">
      <items count="8">
        <item x="1"/>
        <item x="5"/>
        <item x="4"/>
        <item x="2"/>
        <item x="6"/>
        <item x="0"/>
        <item x="3"/>
        <item t="default"/>
      </items>
    </pivotField>
    <pivotField showAll="0"/>
    <pivotField showAll="0"/>
    <pivotField dataField="1" showAll="0"/>
    <pivotField numFmtId="14" showAll="0">
      <items count="43">
        <item x="4"/>
        <item x="3"/>
        <item x="37"/>
        <item x="26"/>
        <item x="2"/>
        <item x="29"/>
        <item x="27"/>
        <item x="25"/>
        <item x="11"/>
        <item x="31"/>
        <item x="1"/>
        <item x="28"/>
        <item x="23"/>
        <item x="35"/>
        <item x="30"/>
        <item x="24"/>
        <item x="32"/>
        <item x="18"/>
        <item x="17"/>
        <item x="36"/>
        <item x="6"/>
        <item x="38"/>
        <item x="12"/>
        <item x="5"/>
        <item x="0"/>
        <item x="9"/>
        <item x="19"/>
        <item x="10"/>
        <item x="41"/>
        <item x="40"/>
        <item x="39"/>
        <item x="7"/>
        <item x="22"/>
        <item x="14"/>
        <item x="16"/>
        <item x="13"/>
        <item x="33"/>
        <item x="34"/>
        <item x="8"/>
        <item x="20"/>
        <item x="21"/>
        <item x="15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8"/>
    <field x="7"/>
  </rowFields>
  <rowItems count="22">
    <i>
      <x v="1"/>
    </i>
    <i r="1">
      <x v="2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Toplam TUTAR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B54331-F8D6-41D6-BC8B-B69EAB5BC924}" name="PivotTable9" cacheId="124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3">
  <location ref="A3:B11" firstHeaderRow="1" firstDataRow="1" firstDataCol="1"/>
  <pivotFields count="9">
    <pivotField showAll="0">
      <items count="3">
        <item x="0"/>
        <item x="1"/>
        <item t="default"/>
      </items>
    </pivotField>
    <pivotField showAll="0">
      <items count="9">
        <item x="0"/>
        <item x="1"/>
        <item x="4"/>
        <item x="3"/>
        <item x="5"/>
        <item x="7"/>
        <item x="2"/>
        <item x="6"/>
        <item t="default"/>
      </items>
    </pivotField>
    <pivotField axis="axisRow" showAll="0">
      <items count="8">
        <item x="1"/>
        <item x="5"/>
        <item x="4"/>
        <item x="2"/>
        <item x="6"/>
        <item x="0"/>
        <item x="3"/>
        <item t="default"/>
      </items>
    </pivotField>
    <pivotField showAll="0"/>
    <pivotField showAll="0"/>
    <pivotField dataField="1" showAll="0"/>
    <pivotField numFmtId="14" showAll="0">
      <items count="43">
        <item x="4"/>
        <item x="3"/>
        <item x="37"/>
        <item x="26"/>
        <item x="2"/>
        <item x="29"/>
        <item x="27"/>
        <item x="25"/>
        <item x="11"/>
        <item x="31"/>
        <item x="1"/>
        <item x="28"/>
        <item x="23"/>
        <item x="35"/>
        <item x="30"/>
        <item x="24"/>
        <item x="32"/>
        <item x="18"/>
        <item x="17"/>
        <item x="36"/>
        <item x="6"/>
        <item x="38"/>
        <item x="12"/>
        <item x="5"/>
        <item x="0"/>
        <item x="9"/>
        <item x="19"/>
        <item x="10"/>
        <item x="41"/>
        <item x="40"/>
        <item x="39"/>
        <item x="7"/>
        <item x="22"/>
        <item x="14"/>
        <item x="16"/>
        <item x="13"/>
        <item x="33"/>
        <item x="34"/>
        <item x="8"/>
        <item x="20"/>
        <item x="21"/>
        <item x="1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plam TUTAR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ÜRÜN_ADI" xr10:uid="{EE1E965D-A844-48E2-BFA1-B85394007C1D}" sourceName="ÜRÜN ADI">
  <pivotTables>
    <pivotTable tabId="2" name="PivotTable2"/>
  </pivotTables>
  <data>
    <tabular pivotCacheId="1118792811">
      <items count="2"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ARKA" xr10:uid="{5BCFFD6A-776E-4394-8FBF-93A3BD922CBA}" sourceName="MARKA">
  <pivotTables>
    <pivotTable tabId="2" name="PivotTable2"/>
  </pivotTables>
  <data>
    <tabular pivotCacheId="1118792811">
      <items count="8">
        <i x="0" s="1"/>
        <i x="1" s="1"/>
        <i x="4" s="1"/>
        <i x="3" s="1"/>
        <i x="5" s="1"/>
        <i x="7" s="1"/>
        <i x="2" s="1"/>
        <i x="6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AN" xr10:uid="{F6EBEE2F-8900-4A08-9BBA-AED390418D70}" sourceName="AN">
  <pivotTables>
    <pivotTable tabId="2" name="PivotTable2"/>
  </pivotTables>
  <data>
    <tabular pivotCacheId="1118792811">
      <items count="7">
        <i x="1" s="1"/>
        <i x="5" s="1"/>
        <i x="4" s="1"/>
        <i x="2" s="1"/>
        <i x="6" s="1"/>
        <i x="0" s="1"/>
        <i x="3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ÜRÜN_ADI1" xr10:uid="{8B2FFC3C-1406-45B1-8966-FE3B480CFD44}" sourceName="ÜRÜN ADI">
  <pivotTables>
    <pivotTable tabId="18" name="PivotTable9"/>
    <pivotTable tabId="18" name="PivotTable10"/>
  </pivotTables>
  <data>
    <tabular pivotCacheId="1118792811">
      <items count="2">
        <i x="0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ARKA1" xr10:uid="{2365A5FD-C7A8-4707-81AC-8185A41491E5}" sourceName="MARKA">
  <pivotTables>
    <pivotTable tabId="18" name="PivotTable9"/>
    <pivotTable tabId="18" name="PivotTable10"/>
  </pivotTables>
  <data>
    <tabular pivotCacheId="1118792811">
      <items count="8">
        <i x="0" s="1"/>
        <i x="1" s="1"/>
        <i x="4" s="1"/>
        <i x="3" s="1"/>
        <i x="5" s="1"/>
        <i x="7" s="1"/>
        <i x="2" s="1"/>
        <i x="6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AN1" xr10:uid="{355D061A-8469-4A9C-9DED-5624F88F9AFC}" sourceName="AN">
  <pivotTables>
    <pivotTable tabId="18" name="PivotTable9"/>
    <pivotTable tabId="18" name="PivotTable10"/>
  </pivotTables>
  <data>
    <tabular pivotCacheId="1118792811">
      <items count="7">
        <i x="1" s="1"/>
        <i x="5" s="1"/>
        <i x="4" s="1"/>
        <i x="2" s="1"/>
        <i x="6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ÜRÜN ADI" xr10:uid="{832DE3E4-284D-4C58-8697-64B38B896266}" cache="Dilimleyici_ÜRÜN_ADI" caption="ÜRÜN ADI" rowHeight="234950"/>
  <slicer name="MARKA" xr10:uid="{72837809-CA8F-452C-A698-121662DE13BF}" cache="Dilimleyici_MARKA" caption="MARKA" rowHeight="234950"/>
  <slicer name="AN" xr10:uid="{379E84C6-3A0B-4FF3-ACE3-6E4BA9789DFD}" cache="Dilimleyici_AN" caption="AN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ÜRÜN ADI 1" xr10:uid="{738E6967-104B-4C37-87A0-275A11F68C07}" cache="Dilimleyici_ÜRÜN_ADI1" caption="ÜRÜN ADI" rowHeight="234950"/>
  <slicer name="MARKA 1" xr10:uid="{91D0010D-7603-4917-B9D5-6606AD18BF26}" cache="Dilimleyici_MARKA1" caption="MARKA" rowHeight="234950"/>
  <slicer name="AN 1" xr10:uid="{4DA025ED-4B06-4ECF-ABC9-39A152FF0CAA}" cache="Dilimleyici_AN1" caption="AN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6B0B292-3DEB-490D-AA50-57E4C20874A5}" name="Tablo8" displayName="Tablo8" ref="A3:G5" totalsRowShown="0">
  <autoFilter ref="A3:G5" xr:uid="{36B0B292-3DEB-490D-AA50-57E4C20874A5}"/>
  <tableColumns count="7">
    <tableColumn id="1" xr3:uid="{85D517C4-D750-47D1-81CC-14A4F81A8FF9}" name="ÜRÜN ADI"/>
    <tableColumn id="2" xr3:uid="{A98D2D3A-F5F7-4130-9C3E-46E56681099A}" name="MARKA"/>
    <tableColumn id="3" xr3:uid="{110F7CF5-9593-4041-AA01-B72B967497FD}" name="AN"/>
    <tableColumn id="4" xr3:uid="{BAC82A88-3828-42C5-BCF5-8FD4EFD0503A}" name="ADET"/>
    <tableColumn id="5" xr3:uid="{153FBF41-FE9E-49FA-B5F9-C6DB160FF7A2}" name="FİYAT"/>
    <tableColumn id="6" xr3:uid="{651F3B2B-A403-473F-B8FD-A47AABFA21DC}" name="TUTAR"/>
    <tableColumn id="7" xr3:uid="{583302BC-EA9C-4D97-84CF-136A8A03BD7C}" name="TARİH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9ADF1FE-AB4C-4B10-ADDA-63DED9EB0FBB}" name="Tablo9" displayName="Tablo9" ref="A3:G16" totalsRowShown="0">
  <autoFilter ref="A3:G16" xr:uid="{E9ADF1FE-AB4C-4B10-ADDA-63DED9EB0FBB}"/>
  <tableColumns count="7">
    <tableColumn id="1" xr3:uid="{AECE4852-45C0-49A3-A7F4-7C32626FE521}" name="ÜRÜN ADI"/>
    <tableColumn id="2" xr3:uid="{8AB5952B-3856-4F5D-9A8C-8D3F83903DB8}" name="MARKA"/>
    <tableColumn id="3" xr3:uid="{07D0A052-59C4-4283-89B4-E3EDDE085CA2}" name="AN"/>
    <tableColumn id="4" xr3:uid="{13615F80-0630-4176-A259-EF4C8D625DB3}" name="ADET"/>
    <tableColumn id="5" xr3:uid="{23DC3D8E-2E45-4A7C-8BFF-8FE3FC53E627}" name="FİYAT"/>
    <tableColumn id="6" xr3:uid="{D247CF3A-4E96-4549-86E0-B3E3D8BBC7F9}" name="TUTAR"/>
    <tableColumn id="7" xr3:uid="{7D3AA5CD-5FFB-43BA-9F67-05B35C94730D}" name="TARİH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0235A7B-6145-4A1D-A107-89F7AF283EA4}" name="Tablo10" displayName="Tablo10" ref="A3:G15" totalsRowShown="0">
  <autoFilter ref="A3:G15" xr:uid="{50235A7B-6145-4A1D-A107-89F7AF283EA4}"/>
  <tableColumns count="7">
    <tableColumn id="1" xr3:uid="{998823F7-FB34-4F30-8544-67678698DCDE}" name="ÜRÜN ADI"/>
    <tableColumn id="2" xr3:uid="{1EC79EDF-4DA4-4E74-BE08-058004EFBC30}" name="MARKA"/>
    <tableColumn id="3" xr3:uid="{031D8F83-5E22-4154-BA9B-388274DE0299}" name="AN"/>
    <tableColumn id="4" xr3:uid="{D76615A4-53FE-4ADA-B1B5-E8C316575BF3}" name="ADET"/>
    <tableColumn id="5" xr3:uid="{75100AD7-DCEB-4E6D-8889-3E98189C1AA7}" name="FİYAT"/>
    <tableColumn id="6" xr3:uid="{D76B5F3C-C21F-4EA1-99BB-0B90A9953CD3}" name="TUTAR"/>
    <tableColumn id="7" xr3:uid="{68E4A2D4-8E7E-4E09-AC06-FDA2559ECD51}" name="TARİH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2CDB-FCD9-4D3C-8B46-B54D775FF430}">
  <dimension ref="A3:F29"/>
  <sheetViews>
    <sheetView workbookViewId="0">
      <selection activeCell="D8" sqref="D8"/>
    </sheetView>
  </sheetViews>
  <sheetFormatPr defaultRowHeight="14.4" x14ac:dyDescent="0.3"/>
  <cols>
    <col min="1" max="1" width="17.109375" bestFit="1" customWidth="1"/>
    <col min="2" max="2" width="13.109375" bestFit="1" customWidth="1"/>
    <col min="3" max="3" width="13.5546875" bestFit="1" customWidth="1"/>
    <col min="4" max="4" width="12.77734375" bestFit="1" customWidth="1"/>
    <col min="5" max="5" width="12.21875" bestFit="1" customWidth="1"/>
    <col min="6" max="6" width="10.88671875" bestFit="1" customWidth="1"/>
    <col min="7" max="10" width="23.33203125" bestFit="1" customWidth="1"/>
    <col min="11" max="11" width="20.88671875" bestFit="1" customWidth="1"/>
    <col min="12" max="12" width="20.21875" bestFit="1" customWidth="1"/>
    <col min="13" max="44" width="10.109375" bestFit="1" customWidth="1"/>
    <col min="45" max="45" width="12.5546875" bestFit="1" customWidth="1"/>
  </cols>
  <sheetData>
    <row r="3" spans="1:6" x14ac:dyDescent="0.3">
      <c r="A3" s="6" t="s">
        <v>24</v>
      </c>
      <c r="B3" s="6" t="s">
        <v>1</v>
      </c>
      <c r="C3" t="s">
        <v>27</v>
      </c>
      <c r="D3" t="s">
        <v>33</v>
      </c>
      <c r="E3" t="s">
        <v>35</v>
      </c>
      <c r="F3" t="s">
        <v>34</v>
      </c>
    </row>
    <row r="4" spans="1:6" x14ac:dyDescent="0.3">
      <c r="A4" t="s">
        <v>18</v>
      </c>
      <c r="C4" s="12">
        <v>6006</v>
      </c>
      <c r="D4" s="8">
        <v>6006</v>
      </c>
      <c r="E4" s="8">
        <v>13</v>
      </c>
      <c r="F4" s="8">
        <v>2</v>
      </c>
    </row>
    <row r="5" spans="1:6" x14ac:dyDescent="0.3">
      <c r="B5" s="10" t="s">
        <v>10</v>
      </c>
      <c r="C5" s="12">
        <v>6006</v>
      </c>
      <c r="D5" s="8">
        <v>6006</v>
      </c>
      <c r="E5" s="8">
        <v>13</v>
      </c>
      <c r="F5" s="8">
        <v>2</v>
      </c>
    </row>
    <row r="6" spans="1:6" x14ac:dyDescent="0.3">
      <c r="A6" t="s">
        <v>22</v>
      </c>
      <c r="C6" s="12">
        <v>163960</v>
      </c>
      <c r="D6" s="8">
        <v>163960</v>
      </c>
      <c r="E6" s="8">
        <v>66</v>
      </c>
      <c r="F6" s="8">
        <v>5</v>
      </c>
    </row>
    <row r="7" spans="1:6" x14ac:dyDescent="0.3">
      <c r="B7" t="s">
        <v>13</v>
      </c>
      <c r="C7" s="12">
        <v>80000</v>
      </c>
      <c r="D7" s="8">
        <v>80000</v>
      </c>
      <c r="E7" s="8">
        <v>25</v>
      </c>
      <c r="F7" s="8">
        <v>1</v>
      </c>
    </row>
    <row r="8" spans="1:6" x14ac:dyDescent="0.3">
      <c r="B8" t="s">
        <v>12</v>
      </c>
      <c r="C8" s="12">
        <v>80000</v>
      </c>
      <c r="D8" s="8">
        <v>80000</v>
      </c>
      <c r="E8" s="8">
        <v>35</v>
      </c>
      <c r="F8" s="8">
        <v>2</v>
      </c>
    </row>
    <row r="9" spans="1:6" x14ac:dyDescent="0.3">
      <c r="B9" t="s">
        <v>11</v>
      </c>
      <c r="C9" s="12">
        <v>3960</v>
      </c>
      <c r="D9" s="8">
        <v>3960</v>
      </c>
      <c r="E9" s="8">
        <v>6</v>
      </c>
      <c r="F9" s="8">
        <v>2</v>
      </c>
    </row>
    <row r="10" spans="1:6" x14ac:dyDescent="0.3">
      <c r="A10" t="s">
        <v>21</v>
      </c>
      <c r="C10" s="12">
        <v>20724</v>
      </c>
      <c r="D10" s="8">
        <v>20724</v>
      </c>
      <c r="E10" s="8">
        <v>36</v>
      </c>
      <c r="F10" s="8">
        <v>6</v>
      </c>
    </row>
    <row r="11" spans="1:6" x14ac:dyDescent="0.3">
      <c r="B11" t="s">
        <v>10</v>
      </c>
      <c r="C11" s="12">
        <v>6864</v>
      </c>
      <c r="D11" s="8">
        <v>6864</v>
      </c>
      <c r="E11" s="8">
        <v>13</v>
      </c>
      <c r="F11" s="8">
        <v>3</v>
      </c>
    </row>
    <row r="12" spans="1:6" x14ac:dyDescent="0.3">
      <c r="B12" t="s">
        <v>11</v>
      </c>
      <c r="C12" s="12">
        <v>13860</v>
      </c>
      <c r="D12" s="8">
        <v>13860</v>
      </c>
      <c r="E12" s="8">
        <v>23</v>
      </c>
      <c r="F12" s="8">
        <v>3</v>
      </c>
    </row>
    <row r="13" spans="1:6" x14ac:dyDescent="0.3">
      <c r="A13" t="s">
        <v>19</v>
      </c>
      <c r="C13" s="12">
        <v>61858</v>
      </c>
      <c r="D13" s="8">
        <v>61858</v>
      </c>
      <c r="E13" s="8">
        <v>48</v>
      </c>
      <c r="F13" s="8">
        <v>4</v>
      </c>
    </row>
    <row r="14" spans="1:6" x14ac:dyDescent="0.3">
      <c r="B14" t="s">
        <v>10</v>
      </c>
      <c r="C14" s="12">
        <v>9108</v>
      </c>
      <c r="D14" s="8">
        <v>9108</v>
      </c>
      <c r="E14" s="8">
        <v>23</v>
      </c>
      <c r="F14" s="8">
        <v>2</v>
      </c>
    </row>
    <row r="15" spans="1:6" x14ac:dyDescent="0.3">
      <c r="B15" t="s">
        <v>12</v>
      </c>
      <c r="C15" s="12">
        <v>25000</v>
      </c>
      <c r="D15" s="8">
        <v>25000</v>
      </c>
      <c r="E15" s="8">
        <v>10</v>
      </c>
      <c r="F15" s="8">
        <v>1</v>
      </c>
    </row>
    <row r="16" spans="1:6" x14ac:dyDescent="0.3">
      <c r="B16" t="s">
        <v>15</v>
      </c>
      <c r="C16" s="12">
        <v>27750</v>
      </c>
      <c r="D16" s="8">
        <v>27750</v>
      </c>
      <c r="E16" s="8">
        <v>15</v>
      </c>
      <c r="F16" s="8">
        <v>1</v>
      </c>
    </row>
    <row r="17" spans="1:6" x14ac:dyDescent="0.3">
      <c r="A17" t="s">
        <v>23</v>
      </c>
      <c r="C17" s="12">
        <v>220154</v>
      </c>
      <c r="D17" s="8">
        <v>220154</v>
      </c>
      <c r="E17" s="8">
        <v>84</v>
      </c>
      <c r="F17" s="8">
        <v>5</v>
      </c>
    </row>
    <row r="18" spans="1:6" x14ac:dyDescent="0.3">
      <c r="B18" t="s">
        <v>11</v>
      </c>
      <c r="C18" s="12">
        <v>190154</v>
      </c>
      <c r="D18" s="8">
        <v>190154</v>
      </c>
      <c r="E18" s="8">
        <v>74</v>
      </c>
      <c r="F18" s="8">
        <v>4</v>
      </c>
    </row>
    <row r="19" spans="1:6" x14ac:dyDescent="0.3">
      <c r="B19" t="s">
        <v>15</v>
      </c>
      <c r="C19" s="12">
        <v>30000</v>
      </c>
      <c r="D19" s="8">
        <v>30000</v>
      </c>
      <c r="E19" s="8">
        <v>10</v>
      </c>
      <c r="F19" s="8">
        <v>1</v>
      </c>
    </row>
    <row r="20" spans="1:6" x14ac:dyDescent="0.3">
      <c r="A20" t="s">
        <v>17</v>
      </c>
      <c r="C20" s="12">
        <v>55724</v>
      </c>
      <c r="D20" s="8">
        <v>55724</v>
      </c>
      <c r="E20" s="8">
        <v>62</v>
      </c>
      <c r="F20" s="8">
        <v>5</v>
      </c>
    </row>
    <row r="21" spans="1:6" x14ac:dyDescent="0.3">
      <c r="B21" t="s">
        <v>9</v>
      </c>
      <c r="C21" s="12">
        <v>3960</v>
      </c>
      <c r="D21" s="8">
        <v>3960</v>
      </c>
      <c r="E21" s="8">
        <v>10</v>
      </c>
      <c r="F21" s="8">
        <v>1</v>
      </c>
    </row>
    <row r="22" spans="1:6" x14ac:dyDescent="0.3">
      <c r="B22" t="s">
        <v>10</v>
      </c>
      <c r="C22" s="12">
        <v>1980</v>
      </c>
      <c r="D22" s="8">
        <v>1980</v>
      </c>
      <c r="E22" s="8">
        <v>5</v>
      </c>
      <c r="F22" s="8">
        <v>1</v>
      </c>
    </row>
    <row r="23" spans="1:6" x14ac:dyDescent="0.3">
      <c r="B23" t="s">
        <v>14</v>
      </c>
      <c r="C23" s="12">
        <v>28000</v>
      </c>
      <c r="D23" s="8">
        <v>28000</v>
      </c>
      <c r="E23" s="8">
        <v>8</v>
      </c>
      <c r="F23" s="8">
        <v>1</v>
      </c>
    </row>
    <row r="24" spans="1:6" x14ac:dyDescent="0.3">
      <c r="B24" t="s">
        <v>16</v>
      </c>
      <c r="C24" s="12">
        <v>7000</v>
      </c>
      <c r="D24" s="8">
        <v>7000</v>
      </c>
      <c r="E24" s="8">
        <v>7</v>
      </c>
      <c r="F24" s="8">
        <v>1</v>
      </c>
    </row>
    <row r="25" spans="1:6" x14ac:dyDescent="0.3">
      <c r="B25" t="s">
        <v>11</v>
      </c>
      <c r="C25" s="12">
        <v>14784</v>
      </c>
      <c r="D25" s="8">
        <v>14784</v>
      </c>
      <c r="E25" s="8">
        <v>32</v>
      </c>
      <c r="F25" s="8">
        <v>1</v>
      </c>
    </row>
    <row r="26" spans="1:6" x14ac:dyDescent="0.3">
      <c r="A26" t="s">
        <v>20</v>
      </c>
      <c r="C26" s="12">
        <v>120606</v>
      </c>
      <c r="D26" s="8">
        <v>120606</v>
      </c>
      <c r="E26" s="8">
        <v>200</v>
      </c>
      <c r="F26" s="8">
        <v>17</v>
      </c>
    </row>
    <row r="27" spans="1:6" x14ac:dyDescent="0.3">
      <c r="B27" t="s">
        <v>10</v>
      </c>
      <c r="C27" s="12">
        <v>50628</v>
      </c>
      <c r="D27" s="8">
        <v>50628</v>
      </c>
      <c r="E27" s="8">
        <v>116</v>
      </c>
      <c r="F27" s="8">
        <v>9</v>
      </c>
    </row>
    <row r="28" spans="1:6" x14ac:dyDescent="0.3">
      <c r="B28" t="s">
        <v>11</v>
      </c>
      <c r="C28" s="12">
        <v>69978</v>
      </c>
      <c r="D28" s="8">
        <v>69978</v>
      </c>
      <c r="E28" s="8">
        <v>84</v>
      </c>
      <c r="F28" s="8">
        <v>8</v>
      </c>
    </row>
    <row r="29" spans="1:6" x14ac:dyDescent="0.3">
      <c r="A29" t="s">
        <v>26</v>
      </c>
      <c r="C29" s="12">
        <v>649032</v>
      </c>
      <c r="D29" s="8">
        <v>649032</v>
      </c>
      <c r="E29" s="8">
        <v>509</v>
      </c>
      <c r="F29" s="8">
        <v>44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F0155-688F-426A-B6B1-2BCB3D22A42A}">
  <dimension ref="A3:B11"/>
  <sheetViews>
    <sheetView workbookViewId="0">
      <selection activeCell="A6" sqref="A6"/>
    </sheetView>
  </sheetViews>
  <sheetFormatPr defaultRowHeight="14.4" x14ac:dyDescent="0.3"/>
  <cols>
    <col min="1" max="1" width="14.77734375" bestFit="1" customWidth="1"/>
    <col min="2" max="3" width="13.5546875" bestFit="1" customWidth="1"/>
    <col min="4" max="12" width="16.109375" bestFit="1" customWidth="1"/>
    <col min="13" max="13" width="12.5546875" bestFit="1" customWidth="1"/>
  </cols>
  <sheetData>
    <row r="3" spans="1:2" x14ac:dyDescent="0.3">
      <c r="A3" s="6" t="s">
        <v>25</v>
      </c>
      <c r="B3" t="s">
        <v>27</v>
      </c>
    </row>
    <row r="4" spans="1:2" x14ac:dyDescent="0.3">
      <c r="A4" s="7" t="s">
        <v>37</v>
      </c>
      <c r="B4" s="8">
        <v>147882</v>
      </c>
    </row>
    <row r="5" spans="1:2" x14ac:dyDescent="0.3">
      <c r="A5" s="7" t="s">
        <v>38</v>
      </c>
      <c r="B5" s="8">
        <v>7000</v>
      </c>
    </row>
    <row r="6" spans="1:2" x14ac:dyDescent="0.3">
      <c r="A6" s="7" t="s">
        <v>39</v>
      </c>
      <c r="B6" s="8">
        <v>27750</v>
      </c>
    </row>
    <row r="7" spans="1:2" x14ac:dyDescent="0.3">
      <c r="A7" s="7" t="s">
        <v>40</v>
      </c>
      <c r="B7" s="8">
        <v>60000</v>
      </c>
    </row>
    <row r="8" spans="1:2" x14ac:dyDescent="0.3">
      <c r="A8" s="7" t="s">
        <v>41</v>
      </c>
      <c r="B8" s="8">
        <v>86400</v>
      </c>
    </row>
    <row r="9" spans="1:2" x14ac:dyDescent="0.3">
      <c r="A9" s="7" t="s">
        <v>42</v>
      </c>
      <c r="B9" s="8">
        <v>292000</v>
      </c>
    </row>
    <row r="10" spans="1:2" x14ac:dyDescent="0.3">
      <c r="A10" s="7" t="s">
        <v>43</v>
      </c>
      <c r="B10" s="8">
        <v>28000</v>
      </c>
    </row>
    <row r="11" spans="1:2" x14ac:dyDescent="0.3">
      <c r="A11" s="7" t="s">
        <v>26</v>
      </c>
      <c r="B11" s="8">
        <v>649032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6712-0323-4FF8-9D64-286C2BBAFACD}">
  <dimension ref="A1:G5"/>
  <sheetViews>
    <sheetView workbookViewId="0">
      <selection activeCell="G7" sqref="G7"/>
    </sheetView>
  </sheetViews>
  <sheetFormatPr defaultRowHeight="14.4" x14ac:dyDescent="0.3"/>
  <cols>
    <col min="1" max="1" width="11.77734375" bestFit="1" customWidth="1"/>
    <col min="2" max="2" width="9.6640625" bestFit="1" customWidth="1"/>
    <col min="3" max="3" width="9.21875" bestFit="1" customWidth="1"/>
    <col min="4" max="6" width="9" bestFit="1" customWidth="1"/>
    <col min="7" max="7" width="10.109375" bestFit="1" customWidth="1"/>
  </cols>
  <sheetData>
    <row r="1" spans="1:7" x14ac:dyDescent="0.3">
      <c r="A1" s="11" t="s">
        <v>45</v>
      </c>
    </row>
    <row r="3" spans="1:7" x14ac:dyDescent="0.3">
      <c r="A3" t="s">
        <v>0</v>
      </c>
      <c r="B3" t="s">
        <v>1</v>
      </c>
      <c r="C3" t="s">
        <v>24</v>
      </c>
      <c r="D3" t="s">
        <v>3</v>
      </c>
      <c r="E3" t="s">
        <v>4</v>
      </c>
      <c r="F3" t="s">
        <v>5</v>
      </c>
      <c r="G3" t="s">
        <v>6</v>
      </c>
    </row>
    <row r="4" spans="1:7" x14ac:dyDescent="0.3">
      <c r="A4" t="s">
        <v>7</v>
      </c>
      <c r="B4" t="s">
        <v>10</v>
      </c>
      <c r="C4" t="s">
        <v>19</v>
      </c>
      <c r="D4">
        <v>3</v>
      </c>
      <c r="E4">
        <v>396</v>
      </c>
      <c r="F4">
        <v>1188</v>
      </c>
      <c r="G4" s="1">
        <v>43887</v>
      </c>
    </row>
    <row r="5" spans="1:7" x14ac:dyDescent="0.3">
      <c r="A5" t="s">
        <v>7</v>
      </c>
      <c r="B5" t="s">
        <v>10</v>
      </c>
      <c r="C5" t="s">
        <v>19</v>
      </c>
      <c r="D5">
        <v>20</v>
      </c>
      <c r="E5">
        <v>396</v>
      </c>
      <c r="F5">
        <v>7920</v>
      </c>
      <c r="G5" s="1">
        <v>43719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3054-D022-437B-BA3E-F3CF0517ABDA}">
  <dimension ref="A1:C18"/>
  <sheetViews>
    <sheetView workbookViewId="0">
      <selection activeCell="C9" sqref="C9"/>
    </sheetView>
  </sheetViews>
  <sheetFormatPr defaultRowHeight="14.4" x14ac:dyDescent="0.3"/>
  <cols>
    <col min="2" max="2" width="10.33203125" bestFit="1" customWidth="1"/>
    <col min="3" max="3" width="12.44140625" bestFit="1" customWidth="1"/>
  </cols>
  <sheetData>
    <row r="1" spans="1:3" x14ac:dyDescent="0.3">
      <c r="A1" s="6" t="s">
        <v>0</v>
      </c>
      <c r="B1" t="s">
        <v>7</v>
      </c>
    </row>
    <row r="3" spans="1:3" x14ac:dyDescent="0.3">
      <c r="A3" s="6" t="s">
        <v>1</v>
      </c>
      <c r="B3" s="6" t="s">
        <v>24</v>
      </c>
      <c r="C3" t="s">
        <v>44</v>
      </c>
    </row>
    <row r="4" spans="1:3" x14ac:dyDescent="0.3">
      <c r="A4" t="s">
        <v>9</v>
      </c>
      <c r="C4" s="8">
        <v>396</v>
      </c>
    </row>
    <row r="5" spans="1:3" x14ac:dyDescent="0.3">
      <c r="B5" t="s">
        <v>17</v>
      </c>
      <c r="C5" s="8">
        <v>396</v>
      </c>
    </row>
    <row r="6" spans="1:3" x14ac:dyDescent="0.3">
      <c r="A6" t="s">
        <v>10</v>
      </c>
      <c r="C6" s="8">
        <v>8244</v>
      </c>
    </row>
    <row r="7" spans="1:3" x14ac:dyDescent="0.3">
      <c r="B7" t="s">
        <v>18</v>
      </c>
      <c r="C7" s="8">
        <v>924</v>
      </c>
    </row>
    <row r="8" spans="1:3" x14ac:dyDescent="0.3">
      <c r="B8" t="s">
        <v>21</v>
      </c>
      <c r="C8" s="8">
        <v>1584</v>
      </c>
    </row>
    <row r="9" spans="1:3" x14ac:dyDescent="0.3">
      <c r="B9" t="s">
        <v>19</v>
      </c>
      <c r="C9" s="8">
        <v>792</v>
      </c>
    </row>
    <row r="10" spans="1:3" x14ac:dyDescent="0.3">
      <c r="B10" t="s">
        <v>17</v>
      </c>
      <c r="C10" s="8">
        <v>396</v>
      </c>
    </row>
    <row r="11" spans="1:3" x14ac:dyDescent="0.3">
      <c r="B11" t="s">
        <v>20</v>
      </c>
      <c r="C11" s="8">
        <v>4548</v>
      </c>
    </row>
    <row r="12" spans="1:3" x14ac:dyDescent="0.3">
      <c r="A12" t="s">
        <v>11</v>
      </c>
      <c r="C12" s="8">
        <v>15882</v>
      </c>
    </row>
    <row r="13" spans="1:3" x14ac:dyDescent="0.3">
      <c r="B13" t="s">
        <v>22</v>
      </c>
      <c r="C13" s="8">
        <v>1320</v>
      </c>
    </row>
    <row r="14" spans="1:3" x14ac:dyDescent="0.3">
      <c r="B14" t="s">
        <v>21</v>
      </c>
      <c r="C14" s="8">
        <v>1848</v>
      </c>
    </row>
    <row r="15" spans="1:3" x14ac:dyDescent="0.3">
      <c r="B15" t="s">
        <v>23</v>
      </c>
      <c r="C15" s="8">
        <v>4630</v>
      </c>
    </row>
    <row r="16" spans="1:3" x14ac:dyDescent="0.3">
      <c r="B16" t="s">
        <v>17</v>
      </c>
      <c r="C16" s="8">
        <v>462</v>
      </c>
    </row>
    <row r="17" spans="1:3" x14ac:dyDescent="0.3">
      <c r="B17" t="s">
        <v>20</v>
      </c>
      <c r="C17" s="8">
        <v>7622</v>
      </c>
    </row>
    <row r="18" spans="1:3" x14ac:dyDescent="0.3">
      <c r="A18" t="s">
        <v>26</v>
      </c>
      <c r="C18" s="8">
        <v>24522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A5D3-D911-4F2C-B6D6-61A6BCF870C3}">
  <dimension ref="A1:C16"/>
  <sheetViews>
    <sheetView workbookViewId="0"/>
  </sheetViews>
  <sheetFormatPr defaultRowHeight="14.4" x14ac:dyDescent="0.3"/>
  <cols>
    <col min="2" max="2" width="12.77734375" bestFit="1" customWidth="1"/>
    <col min="3" max="3" width="12.44140625" bestFit="1" customWidth="1"/>
  </cols>
  <sheetData>
    <row r="1" spans="1:3" x14ac:dyDescent="0.3">
      <c r="A1" s="6" t="s">
        <v>0</v>
      </c>
      <c r="B1" t="s">
        <v>8</v>
      </c>
    </row>
    <row r="3" spans="1:3" x14ac:dyDescent="0.3">
      <c r="A3" s="6" t="s">
        <v>1</v>
      </c>
      <c r="B3" s="6" t="s">
        <v>24</v>
      </c>
      <c r="C3" t="s">
        <v>44</v>
      </c>
    </row>
    <row r="4" spans="1:3" x14ac:dyDescent="0.3">
      <c r="A4" t="s">
        <v>13</v>
      </c>
      <c r="C4" s="8">
        <v>3200</v>
      </c>
    </row>
    <row r="5" spans="1:3" x14ac:dyDescent="0.3">
      <c r="B5" t="s">
        <v>22</v>
      </c>
      <c r="C5" s="8">
        <v>3200</v>
      </c>
    </row>
    <row r="6" spans="1:3" x14ac:dyDescent="0.3">
      <c r="A6" t="s">
        <v>12</v>
      </c>
      <c r="C6" s="8">
        <v>7000</v>
      </c>
    </row>
    <row r="7" spans="1:3" x14ac:dyDescent="0.3">
      <c r="B7" t="s">
        <v>22</v>
      </c>
      <c r="C7" s="8">
        <v>4500</v>
      </c>
    </row>
    <row r="8" spans="1:3" x14ac:dyDescent="0.3">
      <c r="B8" t="s">
        <v>19</v>
      </c>
      <c r="C8" s="8">
        <v>2500</v>
      </c>
    </row>
    <row r="9" spans="1:3" x14ac:dyDescent="0.3">
      <c r="A9" t="s">
        <v>14</v>
      </c>
      <c r="C9" s="8">
        <v>3500</v>
      </c>
    </row>
    <row r="10" spans="1:3" x14ac:dyDescent="0.3">
      <c r="B10" t="s">
        <v>17</v>
      </c>
      <c r="C10" s="8">
        <v>3500</v>
      </c>
    </row>
    <row r="11" spans="1:3" x14ac:dyDescent="0.3">
      <c r="A11" t="s">
        <v>16</v>
      </c>
      <c r="C11" s="8">
        <v>1000</v>
      </c>
    </row>
    <row r="12" spans="1:3" x14ac:dyDescent="0.3">
      <c r="B12" t="s">
        <v>17</v>
      </c>
      <c r="C12" s="8">
        <v>1000</v>
      </c>
    </row>
    <row r="13" spans="1:3" x14ac:dyDescent="0.3">
      <c r="A13" t="s">
        <v>15</v>
      </c>
      <c r="C13" s="8">
        <v>4850</v>
      </c>
    </row>
    <row r="14" spans="1:3" x14ac:dyDescent="0.3">
      <c r="B14" t="s">
        <v>19</v>
      </c>
      <c r="C14" s="8">
        <v>1850</v>
      </c>
    </row>
    <row r="15" spans="1:3" x14ac:dyDescent="0.3">
      <c r="B15" t="s">
        <v>23</v>
      </c>
      <c r="C15" s="8">
        <v>3000</v>
      </c>
    </row>
    <row r="16" spans="1:3" x14ac:dyDescent="0.3">
      <c r="A16" t="s">
        <v>26</v>
      </c>
      <c r="C16" s="8">
        <v>19550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65FD-42A7-413B-B60C-0B7A2E7C78F7}">
  <dimension ref="A1:F98"/>
  <sheetViews>
    <sheetView workbookViewId="0">
      <selection activeCell="K9" sqref="K9"/>
    </sheetView>
  </sheetViews>
  <sheetFormatPr defaultRowHeight="14.4" x14ac:dyDescent="0.3"/>
  <cols>
    <col min="1" max="1" width="15.5546875" bestFit="1" customWidth="1"/>
    <col min="2" max="2" width="9.21875" bestFit="1" customWidth="1"/>
    <col min="3" max="3" width="10.109375" bestFit="1" customWidth="1"/>
    <col min="4" max="4" width="12.44140625" bestFit="1" customWidth="1"/>
    <col min="5" max="5" width="10.109375" bestFit="1" customWidth="1"/>
    <col min="6" max="7" width="12.44140625" bestFit="1" customWidth="1"/>
  </cols>
  <sheetData>
    <row r="1" spans="1:6" x14ac:dyDescent="0.3">
      <c r="A1" s="6" t="s">
        <v>0</v>
      </c>
      <c r="B1" t="s">
        <v>32</v>
      </c>
    </row>
    <row r="3" spans="1:6" x14ac:dyDescent="0.3">
      <c r="A3" s="6" t="s">
        <v>1</v>
      </c>
      <c r="B3" s="6" t="s">
        <v>24</v>
      </c>
      <c r="C3" s="6" t="s">
        <v>28</v>
      </c>
      <c r="D3" s="6" t="s">
        <v>29</v>
      </c>
      <c r="E3" s="6" t="s">
        <v>6</v>
      </c>
      <c r="F3" t="s">
        <v>44</v>
      </c>
    </row>
    <row r="4" spans="1:6" x14ac:dyDescent="0.3">
      <c r="A4" t="s">
        <v>9</v>
      </c>
      <c r="F4" s="8">
        <v>396</v>
      </c>
    </row>
    <row r="5" spans="1:6" x14ac:dyDescent="0.3">
      <c r="B5" t="s">
        <v>17</v>
      </c>
      <c r="F5" s="8">
        <v>396</v>
      </c>
    </row>
    <row r="6" spans="1:6" x14ac:dyDescent="0.3">
      <c r="A6" t="s">
        <v>10</v>
      </c>
      <c r="F6" s="8">
        <v>8244</v>
      </c>
    </row>
    <row r="7" spans="1:6" x14ac:dyDescent="0.3">
      <c r="B7" t="s">
        <v>18</v>
      </c>
      <c r="F7" s="8">
        <v>924</v>
      </c>
    </row>
    <row r="8" spans="1:6" x14ac:dyDescent="0.3">
      <c r="C8" t="s">
        <v>30</v>
      </c>
      <c r="F8" s="8">
        <v>462</v>
      </c>
    </row>
    <row r="9" spans="1:6" x14ac:dyDescent="0.3">
      <c r="D9" t="s">
        <v>47</v>
      </c>
      <c r="F9" s="8">
        <v>462</v>
      </c>
    </row>
    <row r="10" spans="1:6" x14ac:dyDescent="0.3">
      <c r="E10" s="1">
        <v>43813</v>
      </c>
      <c r="F10" s="8">
        <v>462</v>
      </c>
    </row>
    <row r="11" spans="1:6" x14ac:dyDescent="0.3">
      <c r="C11" t="s">
        <v>31</v>
      </c>
      <c r="F11" s="8">
        <v>462</v>
      </c>
    </row>
    <row r="12" spans="1:6" x14ac:dyDescent="0.3">
      <c r="D12" t="s">
        <v>48</v>
      </c>
      <c r="F12" s="8">
        <v>462</v>
      </c>
    </row>
    <row r="13" spans="1:6" x14ac:dyDescent="0.3">
      <c r="E13" s="1">
        <v>44105</v>
      </c>
      <c r="F13" s="8">
        <v>462</v>
      </c>
    </row>
    <row r="14" spans="1:6" x14ac:dyDescent="0.3">
      <c r="B14" t="s">
        <v>21</v>
      </c>
      <c r="F14" s="8">
        <v>1584</v>
      </c>
    </row>
    <row r="15" spans="1:6" x14ac:dyDescent="0.3">
      <c r="C15" t="s">
        <v>30</v>
      </c>
      <c r="F15" s="8">
        <v>528</v>
      </c>
    </row>
    <row r="16" spans="1:6" x14ac:dyDescent="0.3">
      <c r="D16" t="s">
        <v>36</v>
      </c>
      <c r="F16" s="8">
        <v>528</v>
      </c>
    </row>
    <row r="17" spans="2:6" x14ac:dyDescent="0.3">
      <c r="E17" s="1">
        <v>43517</v>
      </c>
      <c r="F17" s="8">
        <v>528</v>
      </c>
    </row>
    <row r="18" spans="2:6" x14ac:dyDescent="0.3">
      <c r="C18" t="s">
        <v>31</v>
      </c>
      <c r="F18" s="8">
        <v>1056</v>
      </c>
    </row>
    <row r="19" spans="2:6" x14ac:dyDescent="0.3">
      <c r="D19" t="s">
        <v>49</v>
      </c>
      <c r="F19" s="8">
        <v>528</v>
      </c>
    </row>
    <row r="20" spans="2:6" x14ac:dyDescent="0.3">
      <c r="E20" s="1">
        <v>43970</v>
      </c>
      <c r="F20" s="8">
        <v>528</v>
      </c>
    </row>
    <row r="21" spans="2:6" x14ac:dyDescent="0.3">
      <c r="D21" t="s">
        <v>50</v>
      </c>
      <c r="F21" s="8">
        <v>528</v>
      </c>
    </row>
    <row r="22" spans="2:6" x14ac:dyDescent="0.3">
      <c r="E22" s="1">
        <v>44153</v>
      </c>
      <c r="F22" s="8">
        <v>528</v>
      </c>
    </row>
    <row r="23" spans="2:6" x14ac:dyDescent="0.3">
      <c r="B23" t="s">
        <v>19</v>
      </c>
      <c r="F23" s="8">
        <v>792</v>
      </c>
    </row>
    <row r="24" spans="2:6" x14ac:dyDescent="0.3">
      <c r="C24" t="s">
        <v>30</v>
      </c>
      <c r="F24" s="8">
        <v>396</v>
      </c>
    </row>
    <row r="25" spans="2:6" x14ac:dyDescent="0.3">
      <c r="D25" t="s">
        <v>51</v>
      </c>
      <c r="F25" s="8">
        <v>396</v>
      </c>
    </row>
    <row r="26" spans="2:6" x14ac:dyDescent="0.3">
      <c r="E26" s="1">
        <v>43719</v>
      </c>
      <c r="F26" s="8">
        <v>396</v>
      </c>
    </row>
    <row r="27" spans="2:6" x14ac:dyDescent="0.3">
      <c r="C27" t="s">
        <v>31</v>
      </c>
      <c r="F27" s="8">
        <v>396</v>
      </c>
    </row>
    <row r="28" spans="2:6" x14ac:dyDescent="0.3">
      <c r="D28" t="s">
        <v>36</v>
      </c>
      <c r="F28" s="8">
        <v>396</v>
      </c>
    </row>
    <row r="29" spans="2:6" x14ac:dyDescent="0.3">
      <c r="E29" s="1">
        <v>43887</v>
      </c>
      <c r="F29" s="8">
        <v>396</v>
      </c>
    </row>
    <row r="30" spans="2:6" x14ac:dyDescent="0.3">
      <c r="B30" t="s">
        <v>17</v>
      </c>
      <c r="F30" s="8">
        <v>396</v>
      </c>
    </row>
    <row r="31" spans="2:6" x14ac:dyDescent="0.3">
      <c r="B31" t="s">
        <v>20</v>
      </c>
      <c r="F31" s="8">
        <v>4548</v>
      </c>
    </row>
    <row r="32" spans="2:6" x14ac:dyDescent="0.3">
      <c r="C32" t="s">
        <v>30</v>
      </c>
      <c r="F32" s="8">
        <v>792</v>
      </c>
    </row>
    <row r="33" spans="3:6" x14ac:dyDescent="0.3">
      <c r="D33" t="s">
        <v>49</v>
      </c>
      <c r="F33" s="8">
        <v>396</v>
      </c>
    </row>
    <row r="34" spans="3:6" x14ac:dyDescent="0.3">
      <c r="E34" s="1">
        <v>43610</v>
      </c>
      <c r="F34" s="8">
        <v>396</v>
      </c>
    </row>
    <row r="35" spans="3:6" x14ac:dyDescent="0.3">
      <c r="D35" t="s">
        <v>48</v>
      </c>
      <c r="F35" s="8">
        <v>396</v>
      </c>
    </row>
    <row r="36" spans="3:6" x14ac:dyDescent="0.3">
      <c r="E36" s="1">
        <v>43761</v>
      </c>
      <c r="F36" s="8">
        <v>396</v>
      </c>
    </row>
    <row r="37" spans="3:6" x14ac:dyDescent="0.3">
      <c r="C37" t="s">
        <v>31</v>
      </c>
      <c r="F37" s="8">
        <v>3756</v>
      </c>
    </row>
    <row r="38" spans="3:6" x14ac:dyDescent="0.3">
      <c r="D38" t="s">
        <v>52</v>
      </c>
      <c r="F38" s="8">
        <v>462</v>
      </c>
    </row>
    <row r="39" spans="3:6" x14ac:dyDescent="0.3">
      <c r="E39" s="1">
        <v>43949</v>
      </c>
      <c r="F39" s="8">
        <v>462</v>
      </c>
    </row>
    <row r="40" spans="3:6" x14ac:dyDescent="0.3">
      <c r="D40" t="s">
        <v>53</v>
      </c>
      <c r="F40" s="8">
        <v>1320</v>
      </c>
    </row>
    <row r="41" spans="3:6" x14ac:dyDescent="0.3">
      <c r="E41" s="1">
        <v>43984</v>
      </c>
      <c r="F41" s="8">
        <v>660</v>
      </c>
    </row>
    <row r="42" spans="3:6" x14ac:dyDescent="0.3">
      <c r="E42" s="1">
        <v>44009</v>
      </c>
      <c r="F42" s="8">
        <v>660</v>
      </c>
    </row>
    <row r="43" spans="3:6" x14ac:dyDescent="0.3">
      <c r="D43" t="s">
        <v>54</v>
      </c>
      <c r="F43" s="8">
        <v>462</v>
      </c>
    </row>
    <row r="44" spans="3:6" x14ac:dyDescent="0.3">
      <c r="E44" s="1">
        <v>44023</v>
      </c>
      <c r="F44" s="8">
        <v>462</v>
      </c>
    </row>
    <row r="45" spans="3:6" x14ac:dyDescent="0.3">
      <c r="D45" t="s">
        <v>51</v>
      </c>
      <c r="F45" s="8">
        <v>852</v>
      </c>
    </row>
    <row r="46" spans="3:6" x14ac:dyDescent="0.3">
      <c r="E46" s="1">
        <v>44092</v>
      </c>
      <c r="F46" s="8">
        <v>390</v>
      </c>
    </row>
    <row r="47" spans="3:6" x14ac:dyDescent="0.3">
      <c r="E47" s="1">
        <v>44102</v>
      </c>
      <c r="F47" s="8">
        <v>462</v>
      </c>
    </row>
    <row r="48" spans="3:6" x14ac:dyDescent="0.3">
      <c r="D48" t="s">
        <v>48</v>
      </c>
      <c r="F48" s="8">
        <v>660</v>
      </c>
    </row>
    <row r="49" spans="1:6" x14ac:dyDescent="0.3">
      <c r="E49" s="1">
        <v>44121</v>
      </c>
      <c r="F49" s="8">
        <v>660</v>
      </c>
    </row>
    <row r="50" spans="1:6" x14ac:dyDescent="0.3">
      <c r="A50" t="s">
        <v>13</v>
      </c>
      <c r="F50" s="8">
        <v>3200</v>
      </c>
    </row>
    <row r="51" spans="1:6" x14ac:dyDescent="0.3">
      <c r="B51" t="s">
        <v>22</v>
      </c>
      <c r="F51" s="8">
        <v>3200</v>
      </c>
    </row>
    <row r="52" spans="1:6" x14ac:dyDescent="0.3">
      <c r="A52" t="s">
        <v>12</v>
      </c>
      <c r="F52" s="8">
        <v>7000</v>
      </c>
    </row>
    <row r="53" spans="1:6" x14ac:dyDescent="0.3">
      <c r="B53" t="s">
        <v>22</v>
      </c>
      <c r="F53" s="8">
        <v>4500</v>
      </c>
    </row>
    <row r="54" spans="1:6" x14ac:dyDescent="0.3">
      <c r="B54" t="s">
        <v>19</v>
      </c>
      <c r="F54" s="8">
        <v>2500</v>
      </c>
    </row>
    <row r="55" spans="1:6" x14ac:dyDescent="0.3">
      <c r="C55" t="s">
        <v>31</v>
      </c>
      <c r="F55" s="8">
        <v>2500</v>
      </c>
    </row>
    <row r="56" spans="1:6" x14ac:dyDescent="0.3">
      <c r="D56" t="s">
        <v>48</v>
      </c>
      <c r="F56" s="8">
        <v>2500</v>
      </c>
    </row>
    <row r="57" spans="1:6" x14ac:dyDescent="0.3">
      <c r="E57" s="1">
        <v>44121</v>
      </c>
      <c r="F57" s="8">
        <v>2500</v>
      </c>
    </row>
    <row r="58" spans="1:6" x14ac:dyDescent="0.3">
      <c r="A58" t="s">
        <v>14</v>
      </c>
      <c r="F58" s="8">
        <v>3500</v>
      </c>
    </row>
    <row r="59" spans="1:6" x14ac:dyDescent="0.3">
      <c r="B59" t="s">
        <v>17</v>
      </c>
      <c r="F59" s="8">
        <v>3500</v>
      </c>
    </row>
    <row r="60" spans="1:6" x14ac:dyDescent="0.3">
      <c r="A60" t="s">
        <v>16</v>
      </c>
      <c r="F60" s="8">
        <v>1000</v>
      </c>
    </row>
    <row r="61" spans="1:6" x14ac:dyDescent="0.3">
      <c r="B61" t="s">
        <v>17</v>
      </c>
      <c r="F61" s="8">
        <v>1000</v>
      </c>
    </row>
    <row r="62" spans="1:6" x14ac:dyDescent="0.3">
      <c r="A62" t="s">
        <v>11</v>
      </c>
      <c r="F62" s="8">
        <v>15882</v>
      </c>
    </row>
    <row r="63" spans="1:6" x14ac:dyDescent="0.3">
      <c r="B63" t="s">
        <v>22</v>
      </c>
      <c r="F63" s="8">
        <v>1320</v>
      </c>
    </row>
    <row r="64" spans="1:6" x14ac:dyDescent="0.3">
      <c r="B64" t="s">
        <v>21</v>
      </c>
      <c r="F64" s="8">
        <v>1848</v>
      </c>
    </row>
    <row r="65" spans="2:6" x14ac:dyDescent="0.3">
      <c r="C65" t="s">
        <v>31</v>
      </c>
      <c r="F65" s="8">
        <v>1848</v>
      </c>
    </row>
    <row r="66" spans="2:6" x14ac:dyDescent="0.3">
      <c r="D66" t="s">
        <v>36</v>
      </c>
      <c r="F66" s="8">
        <v>660</v>
      </c>
    </row>
    <row r="67" spans="2:6" x14ac:dyDescent="0.3">
      <c r="E67" s="1">
        <v>43864</v>
      </c>
      <c r="F67" s="8">
        <v>660</v>
      </c>
    </row>
    <row r="68" spans="2:6" x14ac:dyDescent="0.3">
      <c r="D68" t="s">
        <v>54</v>
      </c>
      <c r="F68" s="8">
        <v>528</v>
      </c>
    </row>
    <row r="69" spans="2:6" x14ac:dyDescent="0.3">
      <c r="E69" s="1">
        <v>44020</v>
      </c>
      <c r="F69" s="8">
        <v>528</v>
      </c>
    </row>
    <row r="70" spans="2:6" x14ac:dyDescent="0.3">
      <c r="D70" t="s">
        <v>50</v>
      </c>
      <c r="F70" s="8">
        <v>660</v>
      </c>
    </row>
    <row r="71" spans="2:6" x14ac:dyDescent="0.3">
      <c r="E71" s="1">
        <v>44158</v>
      </c>
      <c r="F71" s="8">
        <v>660</v>
      </c>
    </row>
    <row r="72" spans="2:6" x14ac:dyDescent="0.3">
      <c r="B72" t="s">
        <v>23</v>
      </c>
      <c r="F72" s="8">
        <v>4630</v>
      </c>
    </row>
    <row r="73" spans="2:6" x14ac:dyDescent="0.3">
      <c r="B73" t="s">
        <v>17</v>
      </c>
      <c r="F73" s="8">
        <v>462</v>
      </c>
    </row>
    <row r="74" spans="2:6" x14ac:dyDescent="0.3">
      <c r="B74" t="s">
        <v>20</v>
      </c>
      <c r="F74" s="8">
        <v>7622</v>
      </c>
    </row>
    <row r="75" spans="2:6" x14ac:dyDescent="0.3">
      <c r="C75" t="s">
        <v>30</v>
      </c>
      <c r="F75" s="8">
        <v>990</v>
      </c>
    </row>
    <row r="76" spans="2:6" x14ac:dyDescent="0.3">
      <c r="D76" t="s">
        <v>54</v>
      </c>
      <c r="F76" s="8">
        <v>528</v>
      </c>
    </row>
    <row r="77" spans="2:6" x14ac:dyDescent="0.3">
      <c r="E77" s="1">
        <v>43674</v>
      </c>
      <c r="F77" s="8">
        <v>528</v>
      </c>
    </row>
    <row r="78" spans="2:6" x14ac:dyDescent="0.3">
      <c r="D78" t="s">
        <v>48</v>
      </c>
      <c r="F78" s="8">
        <v>462</v>
      </c>
    </row>
    <row r="79" spans="2:6" x14ac:dyDescent="0.3">
      <c r="E79" s="1">
        <v>43755</v>
      </c>
      <c r="F79" s="8">
        <v>462</v>
      </c>
    </row>
    <row r="80" spans="2:6" x14ac:dyDescent="0.3">
      <c r="C80" t="s">
        <v>31</v>
      </c>
      <c r="F80" s="8">
        <v>6632</v>
      </c>
    </row>
    <row r="81" spans="1:6" x14ac:dyDescent="0.3">
      <c r="D81" t="s">
        <v>55</v>
      </c>
      <c r="F81" s="8">
        <v>528</v>
      </c>
    </row>
    <row r="82" spans="1:6" x14ac:dyDescent="0.3">
      <c r="E82" s="1">
        <v>43838</v>
      </c>
      <c r="F82" s="8">
        <v>528</v>
      </c>
    </row>
    <row r="83" spans="1:6" x14ac:dyDescent="0.3">
      <c r="D83" t="s">
        <v>36</v>
      </c>
      <c r="F83" s="8">
        <v>396</v>
      </c>
    </row>
    <row r="84" spans="1:6" x14ac:dyDescent="0.3">
      <c r="E84" s="1">
        <v>43878</v>
      </c>
      <c r="F84" s="8">
        <v>396</v>
      </c>
    </row>
    <row r="85" spans="1:6" x14ac:dyDescent="0.3">
      <c r="D85" t="s">
        <v>51</v>
      </c>
      <c r="F85" s="8">
        <v>396</v>
      </c>
    </row>
    <row r="86" spans="1:6" x14ac:dyDescent="0.3">
      <c r="E86" s="1">
        <v>44099</v>
      </c>
      <c r="F86" s="8">
        <v>396</v>
      </c>
    </row>
    <row r="87" spans="1:6" x14ac:dyDescent="0.3">
      <c r="D87" t="s">
        <v>48</v>
      </c>
      <c r="F87" s="8">
        <v>2850</v>
      </c>
    </row>
    <row r="88" spans="1:6" x14ac:dyDescent="0.3">
      <c r="E88" s="1">
        <v>44123</v>
      </c>
      <c r="F88" s="8">
        <v>2850</v>
      </c>
    </row>
    <row r="89" spans="1:6" x14ac:dyDescent="0.3">
      <c r="D89" t="s">
        <v>50</v>
      </c>
      <c r="F89" s="8">
        <v>2462</v>
      </c>
    </row>
    <row r="90" spans="1:6" x14ac:dyDescent="0.3">
      <c r="E90" s="1">
        <v>44152</v>
      </c>
      <c r="F90" s="8">
        <v>2000</v>
      </c>
    </row>
    <row r="91" spans="1:6" x14ac:dyDescent="0.3">
      <c r="E91" s="1">
        <v>44163</v>
      </c>
      <c r="F91" s="8">
        <v>462</v>
      </c>
    </row>
    <row r="92" spans="1:6" x14ac:dyDescent="0.3">
      <c r="A92" t="s">
        <v>15</v>
      </c>
      <c r="F92" s="8">
        <v>4850</v>
      </c>
    </row>
    <row r="93" spans="1:6" x14ac:dyDescent="0.3">
      <c r="B93" t="s">
        <v>19</v>
      </c>
      <c r="F93" s="8">
        <v>1850</v>
      </c>
    </row>
    <row r="94" spans="1:6" x14ac:dyDescent="0.3">
      <c r="C94" t="s">
        <v>31</v>
      </c>
      <c r="F94" s="8">
        <v>1850</v>
      </c>
    </row>
    <row r="95" spans="1:6" x14ac:dyDescent="0.3">
      <c r="D95" t="s">
        <v>36</v>
      </c>
      <c r="F95" s="8">
        <v>1850</v>
      </c>
    </row>
    <row r="96" spans="1:6" x14ac:dyDescent="0.3">
      <c r="E96" s="1">
        <v>43878</v>
      </c>
      <c r="F96" s="8">
        <v>1850</v>
      </c>
    </row>
    <row r="97" spans="1:6" x14ac:dyDescent="0.3">
      <c r="B97" t="s">
        <v>23</v>
      </c>
      <c r="F97" s="8">
        <v>3000</v>
      </c>
    </row>
    <row r="98" spans="1:6" x14ac:dyDescent="0.3">
      <c r="A98" t="s">
        <v>26</v>
      </c>
      <c r="F98" s="8">
        <v>44072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F784-9784-4F58-8025-7B23530A93D9}">
  <dimension ref="A1:G16"/>
  <sheetViews>
    <sheetView workbookViewId="0">
      <selection activeCell="A3" sqref="A3:G16"/>
    </sheetView>
  </sheetViews>
  <sheetFormatPr defaultRowHeight="14.4" x14ac:dyDescent="0.3"/>
  <cols>
    <col min="1" max="1" width="11.77734375" bestFit="1" customWidth="1"/>
    <col min="2" max="2" width="9.6640625" bestFit="1" customWidth="1"/>
    <col min="3" max="3" width="9.21875" bestFit="1" customWidth="1"/>
    <col min="4" max="6" width="9" bestFit="1" customWidth="1"/>
    <col min="7" max="7" width="10.109375" bestFit="1" customWidth="1"/>
  </cols>
  <sheetData>
    <row r="1" spans="1:7" x14ac:dyDescent="0.3">
      <c r="A1" s="11" t="s">
        <v>46</v>
      </c>
    </row>
    <row r="3" spans="1:7" x14ac:dyDescent="0.3">
      <c r="A3" t="s">
        <v>0</v>
      </c>
      <c r="B3" t="s">
        <v>1</v>
      </c>
      <c r="C3" t="s">
        <v>24</v>
      </c>
      <c r="D3" t="s">
        <v>3</v>
      </c>
      <c r="E3" t="s">
        <v>4</v>
      </c>
      <c r="F3" t="s">
        <v>5</v>
      </c>
      <c r="G3" t="s">
        <v>6</v>
      </c>
    </row>
    <row r="4" spans="1:7" x14ac:dyDescent="0.3">
      <c r="A4" t="s">
        <v>7</v>
      </c>
      <c r="B4" t="s">
        <v>10</v>
      </c>
      <c r="C4" t="s">
        <v>18</v>
      </c>
      <c r="D4">
        <v>3</v>
      </c>
      <c r="E4">
        <v>462</v>
      </c>
      <c r="F4">
        <v>1386</v>
      </c>
      <c r="G4" s="1">
        <v>44105</v>
      </c>
    </row>
    <row r="5" spans="1:7" x14ac:dyDescent="0.3">
      <c r="A5" t="s">
        <v>7</v>
      </c>
      <c r="B5" t="s">
        <v>11</v>
      </c>
      <c r="C5" t="s">
        <v>22</v>
      </c>
      <c r="D5">
        <v>3</v>
      </c>
      <c r="E5">
        <v>660</v>
      </c>
      <c r="F5">
        <v>1980</v>
      </c>
      <c r="G5" s="1">
        <v>43772</v>
      </c>
    </row>
    <row r="6" spans="1:7" x14ac:dyDescent="0.3">
      <c r="A6" t="s">
        <v>7</v>
      </c>
      <c r="B6" t="s">
        <v>11</v>
      </c>
      <c r="C6" t="s">
        <v>22</v>
      </c>
      <c r="D6">
        <v>3</v>
      </c>
      <c r="E6">
        <v>660</v>
      </c>
      <c r="F6">
        <v>1980</v>
      </c>
      <c r="G6" s="1">
        <v>43735</v>
      </c>
    </row>
    <row r="7" spans="1:7" x14ac:dyDescent="0.3">
      <c r="A7" t="s">
        <v>7</v>
      </c>
      <c r="B7" t="s">
        <v>11</v>
      </c>
      <c r="C7" t="s">
        <v>21</v>
      </c>
      <c r="D7">
        <v>3</v>
      </c>
      <c r="E7">
        <v>660</v>
      </c>
      <c r="F7">
        <v>1980</v>
      </c>
      <c r="G7" s="1">
        <v>43864</v>
      </c>
    </row>
    <row r="8" spans="1:7" x14ac:dyDescent="0.3">
      <c r="A8" t="s">
        <v>7</v>
      </c>
      <c r="B8" t="s">
        <v>10</v>
      </c>
      <c r="C8" t="s">
        <v>21</v>
      </c>
      <c r="D8">
        <v>3</v>
      </c>
      <c r="E8">
        <v>528</v>
      </c>
      <c r="F8">
        <v>1584</v>
      </c>
      <c r="G8" s="1">
        <v>43970</v>
      </c>
    </row>
    <row r="9" spans="1:7" x14ac:dyDescent="0.3">
      <c r="A9" t="s">
        <v>7</v>
      </c>
      <c r="B9" t="s">
        <v>10</v>
      </c>
      <c r="C9" t="s">
        <v>19</v>
      </c>
      <c r="D9">
        <v>3</v>
      </c>
      <c r="E9">
        <v>396</v>
      </c>
      <c r="F9">
        <v>1188</v>
      </c>
      <c r="G9" s="1">
        <v>43887</v>
      </c>
    </row>
    <row r="10" spans="1:7" x14ac:dyDescent="0.3">
      <c r="A10" t="s">
        <v>7</v>
      </c>
      <c r="B10" t="s">
        <v>11</v>
      </c>
      <c r="C10" t="s">
        <v>23</v>
      </c>
      <c r="D10">
        <v>3</v>
      </c>
      <c r="E10">
        <v>528</v>
      </c>
      <c r="F10">
        <v>1584</v>
      </c>
      <c r="G10" s="1">
        <v>43857</v>
      </c>
    </row>
    <row r="11" spans="1:7" x14ac:dyDescent="0.3">
      <c r="A11" t="s">
        <v>7</v>
      </c>
      <c r="B11" t="s">
        <v>11</v>
      </c>
      <c r="C11" t="s">
        <v>20</v>
      </c>
      <c r="D11">
        <v>3</v>
      </c>
      <c r="E11">
        <v>462</v>
      </c>
      <c r="F11">
        <v>1386</v>
      </c>
      <c r="G11" s="1">
        <v>43755</v>
      </c>
    </row>
    <row r="12" spans="1:7" x14ac:dyDescent="0.3">
      <c r="A12" t="s">
        <v>7</v>
      </c>
      <c r="B12" t="s">
        <v>10</v>
      </c>
      <c r="C12" t="s">
        <v>20</v>
      </c>
      <c r="D12">
        <v>3</v>
      </c>
      <c r="E12">
        <v>660</v>
      </c>
      <c r="F12">
        <v>1980</v>
      </c>
      <c r="G12" s="1">
        <v>43984</v>
      </c>
    </row>
    <row r="13" spans="1:7" x14ac:dyDescent="0.3">
      <c r="A13" t="s">
        <v>7</v>
      </c>
      <c r="B13" t="s">
        <v>10</v>
      </c>
      <c r="C13" t="s">
        <v>20</v>
      </c>
      <c r="D13">
        <v>3</v>
      </c>
      <c r="E13">
        <v>462</v>
      </c>
      <c r="F13">
        <v>1386</v>
      </c>
      <c r="G13" s="1">
        <v>43949</v>
      </c>
    </row>
    <row r="14" spans="1:7" x14ac:dyDescent="0.3">
      <c r="A14" t="s">
        <v>7</v>
      </c>
      <c r="B14" t="s">
        <v>10</v>
      </c>
      <c r="C14" t="s">
        <v>20</v>
      </c>
      <c r="D14">
        <v>3</v>
      </c>
      <c r="E14">
        <v>660</v>
      </c>
      <c r="F14">
        <v>1980</v>
      </c>
      <c r="G14" s="1">
        <v>44009</v>
      </c>
    </row>
    <row r="15" spans="1:7" x14ac:dyDescent="0.3">
      <c r="A15" t="s">
        <v>7</v>
      </c>
      <c r="B15" t="s">
        <v>10</v>
      </c>
      <c r="C15" t="s">
        <v>20</v>
      </c>
      <c r="D15">
        <v>3</v>
      </c>
      <c r="E15">
        <v>462</v>
      </c>
      <c r="F15">
        <v>1386</v>
      </c>
      <c r="G15" s="1">
        <v>44023</v>
      </c>
    </row>
    <row r="16" spans="1:7" x14ac:dyDescent="0.3">
      <c r="A16" t="s">
        <v>7</v>
      </c>
      <c r="B16" t="s">
        <v>10</v>
      </c>
      <c r="C16" t="s">
        <v>20</v>
      </c>
      <c r="D16">
        <v>3</v>
      </c>
      <c r="E16">
        <v>660</v>
      </c>
      <c r="F16">
        <v>1980</v>
      </c>
      <c r="G16" s="1">
        <v>44121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3DBA-98C8-43DF-8153-B690FE968DA6}">
  <dimension ref="A3:C29"/>
  <sheetViews>
    <sheetView workbookViewId="0">
      <selection activeCell="B4" sqref="B4"/>
    </sheetView>
  </sheetViews>
  <sheetFormatPr defaultRowHeight="14.4" x14ac:dyDescent="0.3"/>
  <cols>
    <col min="1" max="1" width="17.109375" bestFit="1" customWidth="1"/>
    <col min="2" max="2" width="13.109375" bestFit="1" customWidth="1"/>
    <col min="3" max="3" width="13.5546875" bestFit="1" customWidth="1"/>
    <col min="4" max="4" width="7.5546875" customWidth="1"/>
    <col min="5" max="5" width="7.88671875" customWidth="1"/>
    <col min="6" max="6" width="10.109375" customWidth="1"/>
    <col min="7" max="7" width="10.44140625" customWidth="1"/>
    <col min="8" max="8" width="10.109375" customWidth="1"/>
    <col min="9" max="9" width="12.21875" customWidth="1"/>
    <col min="10" max="10" width="13.44140625" customWidth="1"/>
    <col min="11" max="11" width="15.44140625" customWidth="1"/>
    <col min="12" max="12" width="7.5546875" customWidth="1"/>
    <col min="13" max="13" width="9.44140625" customWidth="1"/>
    <col min="14" max="14" width="12.5546875" bestFit="1" customWidth="1"/>
  </cols>
  <sheetData>
    <row r="3" spans="1:3" x14ac:dyDescent="0.3">
      <c r="A3" s="6" t="s">
        <v>24</v>
      </c>
      <c r="B3" s="6" t="s">
        <v>1</v>
      </c>
      <c r="C3" t="s">
        <v>27</v>
      </c>
    </row>
    <row r="4" spans="1:3" x14ac:dyDescent="0.3">
      <c r="A4" t="s">
        <v>18</v>
      </c>
      <c r="C4" s="8">
        <v>6006</v>
      </c>
    </row>
    <row r="5" spans="1:3" x14ac:dyDescent="0.3">
      <c r="B5" t="s">
        <v>10</v>
      </c>
      <c r="C5" s="8">
        <v>6006</v>
      </c>
    </row>
    <row r="6" spans="1:3" x14ac:dyDescent="0.3">
      <c r="A6" t="s">
        <v>22</v>
      </c>
      <c r="C6" s="8">
        <v>163960</v>
      </c>
    </row>
    <row r="7" spans="1:3" x14ac:dyDescent="0.3">
      <c r="B7" t="s">
        <v>13</v>
      </c>
      <c r="C7" s="8">
        <v>80000</v>
      </c>
    </row>
    <row r="8" spans="1:3" x14ac:dyDescent="0.3">
      <c r="B8" t="s">
        <v>12</v>
      </c>
      <c r="C8" s="8">
        <v>80000</v>
      </c>
    </row>
    <row r="9" spans="1:3" x14ac:dyDescent="0.3">
      <c r="B9" t="s">
        <v>11</v>
      </c>
      <c r="C9" s="8">
        <v>3960</v>
      </c>
    </row>
    <row r="10" spans="1:3" x14ac:dyDescent="0.3">
      <c r="A10" t="s">
        <v>21</v>
      </c>
      <c r="C10" s="8">
        <v>20724</v>
      </c>
    </row>
    <row r="11" spans="1:3" x14ac:dyDescent="0.3">
      <c r="B11" t="s">
        <v>10</v>
      </c>
      <c r="C11" s="8">
        <v>6864</v>
      </c>
    </row>
    <row r="12" spans="1:3" x14ac:dyDescent="0.3">
      <c r="B12" t="s">
        <v>11</v>
      </c>
      <c r="C12" s="8">
        <v>13860</v>
      </c>
    </row>
    <row r="13" spans="1:3" x14ac:dyDescent="0.3">
      <c r="A13" t="s">
        <v>19</v>
      </c>
      <c r="C13" s="8">
        <v>61858</v>
      </c>
    </row>
    <row r="14" spans="1:3" x14ac:dyDescent="0.3">
      <c r="B14" t="s">
        <v>10</v>
      </c>
      <c r="C14" s="8">
        <v>9108</v>
      </c>
    </row>
    <row r="15" spans="1:3" x14ac:dyDescent="0.3">
      <c r="B15" t="s">
        <v>12</v>
      </c>
      <c r="C15" s="8">
        <v>25000</v>
      </c>
    </row>
    <row r="16" spans="1:3" x14ac:dyDescent="0.3">
      <c r="B16" t="s">
        <v>15</v>
      </c>
      <c r="C16" s="8">
        <v>27750</v>
      </c>
    </row>
    <row r="17" spans="1:3" x14ac:dyDescent="0.3">
      <c r="A17" t="s">
        <v>23</v>
      </c>
      <c r="C17" s="8">
        <v>220154</v>
      </c>
    </row>
    <row r="18" spans="1:3" x14ac:dyDescent="0.3">
      <c r="B18" t="s">
        <v>11</v>
      </c>
      <c r="C18" s="8">
        <v>190154</v>
      </c>
    </row>
    <row r="19" spans="1:3" x14ac:dyDescent="0.3">
      <c r="B19" t="s">
        <v>15</v>
      </c>
      <c r="C19" s="8">
        <v>30000</v>
      </c>
    </row>
    <row r="20" spans="1:3" x14ac:dyDescent="0.3">
      <c r="A20" t="s">
        <v>17</v>
      </c>
      <c r="C20" s="8">
        <v>55724</v>
      </c>
    </row>
    <row r="21" spans="1:3" x14ac:dyDescent="0.3">
      <c r="B21" t="s">
        <v>9</v>
      </c>
      <c r="C21" s="8">
        <v>3960</v>
      </c>
    </row>
    <row r="22" spans="1:3" x14ac:dyDescent="0.3">
      <c r="B22" t="s">
        <v>10</v>
      </c>
      <c r="C22" s="8">
        <v>1980</v>
      </c>
    </row>
    <row r="23" spans="1:3" x14ac:dyDescent="0.3">
      <c r="B23" t="s">
        <v>14</v>
      </c>
      <c r="C23" s="8">
        <v>28000</v>
      </c>
    </row>
    <row r="24" spans="1:3" x14ac:dyDescent="0.3">
      <c r="B24" t="s">
        <v>16</v>
      </c>
      <c r="C24" s="8">
        <v>7000</v>
      </c>
    </row>
    <row r="25" spans="1:3" x14ac:dyDescent="0.3">
      <c r="B25" t="s">
        <v>11</v>
      </c>
      <c r="C25" s="8">
        <v>14784</v>
      </c>
    </row>
    <row r="26" spans="1:3" x14ac:dyDescent="0.3">
      <c r="A26" t="s">
        <v>20</v>
      </c>
      <c r="C26" s="8">
        <v>120606</v>
      </c>
    </row>
    <row r="27" spans="1:3" x14ac:dyDescent="0.3">
      <c r="B27" t="s">
        <v>10</v>
      </c>
      <c r="C27" s="8">
        <v>50628</v>
      </c>
    </row>
    <row r="28" spans="1:3" x14ac:dyDescent="0.3">
      <c r="B28" t="s">
        <v>11</v>
      </c>
      <c r="C28" s="8">
        <v>69978</v>
      </c>
    </row>
    <row r="29" spans="1:3" x14ac:dyDescent="0.3">
      <c r="A29" t="s">
        <v>26</v>
      </c>
      <c r="C29" s="8">
        <v>649032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0C28-AE43-4DA8-89E6-F59EB6A2D3F1}">
  <dimension ref="A1:G15"/>
  <sheetViews>
    <sheetView workbookViewId="0">
      <selection activeCell="A3" sqref="A3:G15"/>
    </sheetView>
  </sheetViews>
  <sheetFormatPr defaultRowHeight="14.4" x14ac:dyDescent="0.3"/>
  <cols>
    <col min="1" max="1" width="11.77734375" bestFit="1" customWidth="1"/>
    <col min="2" max="2" width="9.6640625" bestFit="1" customWidth="1"/>
    <col min="3" max="3" width="9.21875" bestFit="1" customWidth="1"/>
    <col min="4" max="6" width="9" bestFit="1" customWidth="1"/>
    <col min="7" max="7" width="10.109375" bestFit="1" customWidth="1"/>
  </cols>
  <sheetData>
    <row r="1" spans="1:7" x14ac:dyDescent="0.3">
      <c r="A1" s="11" t="s">
        <v>56</v>
      </c>
    </row>
    <row r="3" spans="1:7" x14ac:dyDescent="0.3">
      <c r="A3" t="s">
        <v>0</v>
      </c>
      <c r="B3" t="s">
        <v>1</v>
      </c>
      <c r="C3" t="s">
        <v>24</v>
      </c>
      <c r="D3" t="s">
        <v>3</v>
      </c>
      <c r="E3" t="s">
        <v>4</v>
      </c>
      <c r="F3" t="s">
        <v>5</v>
      </c>
      <c r="G3" t="s">
        <v>6</v>
      </c>
    </row>
    <row r="4" spans="1:7" x14ac:dyDescent="0.3">
      <c r="A4" t="s">
        <v>7</v>
      </c>
      <c r="B4" t="s">
        <v>10</v>
      </c>
      <c r="C4" t="s">
        <v>21</v>
      </c>
      <c r="D4">
        <v>5</v>
      </c>
      <c r="E4">
        <v>528</v>
      </c>
      <c r="F4">
        <v>2640</v>
      </c>
      <c r="G4" s="1">
        <v>43517</v>
      </c>
    </row>
    <row r="5" spans="1:7" x14ac:dyDescent="0.3">
      <c r="A5" t="s">
        <v>7</v>
      </c>
      <c r="B5" t="s">
        <v>10</v>
      </c>
      <c r="C5" t="s">
        <v>20</v>
      </c>
      <c r="D5">
        <v>32</v>
      </c>
      <c r="E5">
        <v>396</v>
      </c>
      <c r="F5">
        <v>12672</v>
      </c>
      <c r="G5" s="1">
        <v>43610</v>
      </c>
    </row>
    <row r="6" spans="1:7" x14ac:dyDescent="0.3">
      <c r="A6" t="s">
        <v>8</v>
      </c>
      <c r="B6" t="s">
        <v>13</v>
      </c>
      <c r="C6" t="s">
        <v>22</v>
      </c>
      <c r="D6">
        <v>25</v>
      </c>
      <c r="E6">
        <v>3200</v>
      </c>
      <c r="F6">
        <v>80000</v>
      </c>
      <c r="G6" s="1">
        <v>43639</v>
      </c>
    </row>
    <row r="7" spans="1:7" x14ac:dyDescent="0.3">
      <c r="A7" t="s">
        <v>7</v>
      </c>
      <c r="B7" t="s">
        <v>11</v>
      </c>
      <c r="C7" t="s">
        <v>20</v>
      </c>
      <c r="D7">
        <v>5</v>
      </c>
      <c r="E7">
        <v>528</v>
      </c>
      <c r="F7">
        <v>2640</v>
      </c>
      <c r="G7" s="1">
        <v>43674</v>
      </c>
    </row>
    <row r="8" spans="1:7" x14ac:dyDescent="0.3">
      <c r="A8" t="s">
        <v>7</v>
      </c>
      <c r="B8" t="s">
        <v>10</v>
      </c>
      <c r="C8" t="s">
        <v>19</v>
      </c>
      <c r="D8">
        <v>20</v>
      </c>
      <c r="E8">
        <v>396</v>
      </c>
      <c r="F8">
        <v>7920</v>
      </c>
      <c r="G8" s="1">
        <v>43719</v>
      </c>
    </row>
    <row r="9" spans="1:7" x14ac:dyDescent="0.3">
      <c r="A9" t="s">
        <v>7</v>
      </c>
      <c r="B9" t="s">
        <v>11</v>
      </c>
      <c r="C9" t="s">
        <v>23</v>
      </c>
      <c r="D9">
        <v>5</v>
      </c>
      <c r="E9">
        <v>390</v>
      </c>
      <c r="F9">
        <v>1950</v>
      </c>
      <c r="G9" s="1">
        <v>43734</v>
      </c>
    </row>
    <row r="10" spans="1:7" x14ac:dyDescent="0.3">
      <c r="A10" t="s">
        <v>7</v>
      </c>
      <c r="B10" t="s">
        <v>11</v>
      </c>
      <c r="C10" t="s">
        <v>22</v>
      </c>
      <c r="D10">
        <v>3</v>
      </c>
      <c r="E10">
        <v>660</v>
      </c>
      <c r="F10">
        <v>1980</v>
      </c>
      <c r="G10" s="1">
        <v>43735</v>
      </c>
    </row>
    <row r="11" spans="1:7" x14ac:dyDescent="0.3">
      <c r="A11" t="s">
        <v>7</v>
      </c>
      <c r="B11" t="s">
        <v>11</v>
      </c>
      <c r="C11" t="s">
        <v>20</v>
      </c>
      <c r="D11">
        <v>3</v>
      </c>
      <c r="E11">
        <v>462</v>
      </c>
      <c r="F11">
        <v>1386</v>
      </c>
      <c r="G11" s="1">
        <v>43755</v>
      </c>
    </row>
    <row r="12" spans="1:7" x14ac:dyDescent="0.3">
      <c r="A12" t="s">
        <v>7</v>
      </c>
      <c r="B12" t="s">
        <v>10</v>
      </c>
      <c r="C12" t="s">
        <v>20</v>
      </c>
      <c r="D12">
        <v>5</v>
      </c>
      <c r="E12">
        <v>396</v>
      </c>
      <c r="F12">
        <v>1980</v>
      </c>
      <c r="G12" s="1">
        <v>43761</v>
      </c>
    </row>
    <row r="13" spans="1:7" x14ac:dyDescent="0.3">
      <c r="A13" t="s">
        <v>7</v>
      </c>
      <c r="B13" t="s">
        <v>11</v>
      </c>
      <c r="C13" t="s">
        <v>22</v>
      </c>
      <c r="D13">
        <v>3</v>
      </c>
      <c r="E13">
        <v>660</v>
      </c>
      <c r="F13">
        <v>1980</v>
      </c>
      <c r="G13" s="1">
        <v>43772</v>
      </c>
    </row>
    <row r="14" spans="1:7" x14ac:dyDescent="0.3">
      <c r="A14" t="s">
        <v>7</v>
      </c>
      <c r="B14" t="s">
        <v>10</v>
      </c>
      <c r="C14" t="s">
        <v>18</v>
      </c>
      <c r="D14">
        <v>10</v>
      </c>
      <c r="E14">
        <v>462</v>
      </c>
      <c r="F14">
        <v>4620</v>
      </c>
      <c r="G14" s="1">
        <v>43813</v>
      </c>
    </row>
    <row r="15" spans="1:7" x14ac:dyDescent="0.3">
      <c r="A15" t="s">
        <v>7</v>
      </c>
      <c r="B15" t="s">
        <v>11</v>
      </c>
      <c r="C15" t="s">
        <v>17</v>
      </c>
      <c r="D15">
        <v>32</v>
      </c>
      <c r="E15">
        <v>462</v>
      </c>
      <c r="F15">
        <v>14784</v>
      </c>
      <c r="G15" s="1">
        <v>43818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0AB1-97B9-4B80-BA3F-3483E8BBF305}">
  <dimension ref="A3:B41"/>
  <sheetViews>
    <sheetView tabSelected="1" topLeftCell="A2" workbookViewId="0">
      <selection activeCell="A20" sqref="A20"/>
    </sheetView>
  </sheetViews>
  <sheetFormatPr defaultRowHeight="14.4" x14ac:dyDescent="0.3"/>
  <cols>
    <col min="1" max="1" width="14.77734375" bestFit="1" customWidth="1"/>
    <col min="2" max="2" width="13.5546875" bestFit="1" customWidth="1"/>
  </cols>
  <sheetData>
    <row r="3" spans="1:2" x14ac:dyDescent="0.3">
      <c r="A3" s="6" t="s">
        <v>25</v>
      </c>
      <c r="B3" t="s">
        <v>27</v>
      </c>
    </row>
    <row r="4" spans="1:2" x14ac:dyDescent="0.3">
      <c r="A4" s="7" t="s">
        <v>18</v>
      </c>
      <c r="B4" s="8">
        <v>6006</v>
      </c>
    </row>
    <row r="5" spans="1:2" x14ac:dyDescent="0.3">
      <c r="A5" s="7" t="s">
        <v>22</v>
      </c>
      <c r="B5" s="8">
        <v>163960</v>
      </c>
    </row>
    <row r="6" spans="1:2" x14ac:dyDescent="0.3">
      <c r="A6" s="7" t="s">
        <v>21</v>
      </c>
      <c r="B6" s="8">
        <v>20724</v>
      </c>
    </row>
    <row r="7" spans="1:2" x14ac:dyDescent="0.3">
      <c r="A7" s="7" t="s">
        <v>19</v>
      </c>
      <c r="B7" s="8">
        <v>61858</v>
      </c>
    </row>
    <row r="8" spans="1:2" x14ac:dyDescent="0.3">
      <c r="A8" s="7" t="s">
        <v>23</v>
      </c>
      <c r="B8" s="8">
        <v>220154</v>
      </c>
    </row>
    <row r="9" spans="1:2" x14ac:dyDescent="0.3">
      <c r="A9" s="7" t="s">
        <v>17</v>
      </c>
      <c r="B9" s="8">
        <v>55724</v>
      </c>
    </row>
    <row r="10" spans="1:2" x14ac:dyDescent="0.3">
      <c r="A10" s="7" t="s">
        <v>20</v>
      </c>
      <c r="B10" s="8">
        <v>120606</v>
      </c>
    </row>
    <row r="11" spans="1:2" x14ac:dyDescent="0.3">
      <c r="A11" s="7" t="s">
        <v>26</v>
      </c>
      <c r="B11" s="8">
        <v>649032</v>
      </c>
    </row>
    <row r="19" spans="1:2" x14ac:dyDescent="0.3">
      <c r="A19" s="6" t="s">
        <v>25</v>
      </c>
      <c r="B19" t="s">
        <v>27</v>
      </c>
    </row>
    <row r="20" spans="1:2" x14ac:dyDescent="0.3">
      <c r="A20" s="7" t="s">
        <v>30</v>
      </c>
      <c r="B20" s="8">
        <v>134552</v>
      </c>
    </row>
    <row r="21" spans="1:2" x14ac:dyDescent="0.3">
      <c r="A21" s="9" t="s">
        <v>36</v>
      </c>
      <c r="B21" s="8">
        <v>2640</v>
      </c>
    </row>
    <row r="22" spans="1:2" x14ac:dyDescent="0.3">
      <c r="A22" s="9" t="s">
        <v>49</v>
      </c>
      <c r="B22" s="8">
        <v>12672</v>
      </c>
    </row>
    <row r="23" spans="1:2" x14ac:dyDescent="0.3">
      <c r="A23" s="9" t="s">
        <v>53</v>
      </c>
      <c r="B23" s="8">
        <v>80000</v>
      </c>
    </row>
    <row r="24" spans="1:2" x14ac:dyDescent="0.3">
      <c r="A24" s="9" t="s">
        <v>54</v>
      </c>
      <c r="B24" s="8">
        <v>2640</v>
      </c>
    </row>
    <row r="25" spans="1:2" x14ac:dyDescent="0.3">
      <c r="A25" s="9" t="s">
        <v>51</v>
      </c>
      <c r="B25" s="8">
        <v>11850</v>
      </c>
    </row>
    <row r="26" spans="1:2" x14ac:dyDescent="0.3">
      <c r="A26" s="9" t="s">
        <v>48</v>
      </c>
      <c r="B26" s="8">
        <v>3366</v>
      </c>
    </row>
    <row r="27" spans="1:2" x14ac:dyDescent="0.3">
      <c r="A27" s="9" t="s">
        <v>50</v>
      </c>
      <c r="B27" s="8">
        <v>1980</v>
      </c>
    </row>
    <row r="28" spans="1:2" x14ac:dyDescent="0.3">
      <c r="A28" s="9" t="s">
        <v>47</v>
      </c>
      <c r="B28" s="8">
        <v>19404</v>
      </c>
    </row>
    <row r="29" spans="1:2" x14ac:dyDescent="0.3">
      <c r="A29" s="7" t="s">
        <v>31</v>
      </c>
      <c r="B29" s="8">
        <v>514480</v>
      </c>
    </row>
    <row r="30" spans="1:2" x14ac:dyDescent="0.3">
      <c r="A30" s="9" t="s">
        <v>55</v>
      </c>
      <c r="B30" s="8">
        <v>186224</v>
      </c>
    </row>
    <row r="31" spans="1:2" x14ac:dyDescent="0.3">
      <c r="A31" s="9" t="s">
        <v>36</v>
      </c>
      <c r="B31" s="8">
        <v>65538</v>
      </c>
    </row>
    <row r="32" spans="1:2" x14ac:dyDescent="0.3">
      <c r="A32" s="9" t="s">
        <v>52</v>
      </c>
      <c r="B32" s="8">
        <v>1386</v>
      </c>
    </row>
    <row r="33" spans="1:2" x14ac:dyDescent="0.3">
      <c r="A33" s="9" t="s">
        <v>49</v>
      </c>
      <c r="B33" s="8">
        <v>29584</v>
      </c>
    </row>
    <row r="34" spans="1:2" x14ac:dyDescent="0.3">
      <c r="A34" s="9" t="s">
        <v>53</v>
      </c>
      <c r="B34" s="8">
        <v>7920</v>
      </c>
    </row>
    <row r="35" spans="1:2" x14ac:dyDescent="0.3">
      <c r="A35" s="9" t="s">
        <v>54</v>
      </c>
      <c r="B35" s="8">
        <v>86666</v>
      </c>
    </row>
    <row r="36" spans="1:2" x14ac:dyDescent="0.3">
      <c r="A36" s="9" t="s">
        <v>57</v>
      </c>
      <c r="B36" s="8">
        <v>7000</v>
      </c>
    </row>
    <row r="37" spans="1:2" x14ac:dyDescent="0.3">
      <c r="A37" s="9" t="s">
        <v>51</v>
      </c>
      <c r="B37" s="8">
        <v>39936</v>
      </c>
    </row>
    <row r="38" spans="1:2" x14ac:dyDescent="0.3">
      <c r="A38" s="9" t="s">
        <v>48</v>
      </c>
      <c r="B38" s="8">
        <v>39766</v>
      </c>
    </row>
    <row r="39" spans="1:2" x14ac:dyDescent="0.3">
      <c r="A39" s="9" t="s">
        <v>50</v>
      </c>
      <c r="B39" s="8">
        <v>48480</v>
      </c>
    </row>
    <row r="40" spans="1:2" x14ac:dyDescent="0.3">
      <c r="A40" s="9" t="s">
        <v>47</v>
      </c>
      <c r="B40" s="8">
        <v>1980</v>
      </c>
    </row>
    <row r="41" spans="1:2" x14ac:dyDescent="0.3">
      <c r="A41" s="7" t="s">
        <v>26</v>
      </c>
      <c r="B41" s="8">
        <v>649032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F45-87E9-4B6A-998C-FC1DC080CF09}">
  <dimension ref="A1:G45"/>
  <sheetViews>
    <sheetView workbookViewId="0">
      <selection sqref="A1:G45"/>
    </sheetView>
  </sheetViews>
  <sheetFormatPr defaultRowHeight="14.4" x14ac:dyDescent="0.3"/>
  <cols>
    <col min="1" max="1" width="10.5546875" bestFit="1" customWidth="1"/>
    <col min="2" max="2" width="13.109375" bestFit="1" customWidth="1"/>
    <col min="5" max="5" width="9.77734375" customWidth="1"/>
    <col min="7" max="7" width="10.1093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9</v>
      </c>
      <c r="C2" s="3" t="s">
        <v>17</v>
      </c>
      <c r="D2" s="3">
        <v>100</v>
      </c>
      <c r="E2" s="3">
        <v>396</v>
      </c>
      <c r="F2" s="3">
        <f>E2*D2</f>
        <v>39600</v>
      </c>
      <c r="G2" s="4">
        <v>43987</v>
      </c>
    </row>
    <row r="3" spans="1:7" x14ac:dyDescent="0.3">
      <c r="A3" s="3" t="s">
        <v>7</v>
      </c>
      <c r="B3" s="3" t="s">
        <v>10</v>
      </c>
      <c r="C3" s="3" t="s">
        <v>18</v>
      </c>
      <c r="D3" s="3">
        <v>100</v>
      </c>
      <c r="E3" s="3">
        <v>462</v>
      </c>
      <c r="F3" s="3">
        <f t="shared" ref="F3:F20" si="0">E3*D3</f>
        <v>46200</v>
      </c>
      <c r="G3" s="4">
        <v>43813</v>
      </c>
    </row>
    <row r="4" spans="1:7" x14ac:dyDescent="0.3">
      <c r="A4" s="3" t="s">
        <v>7</v>
      </c>
      <c r="B4" s="3" t="s">
        <v>10</v>
      </c>
      <c r="C4" s="3" t="s">
        <v>19</v>
      </c>
      <c r="D4" s="3">
        <v>100</v>
      </c>
      <c r="E4" s="3">
        <v>396</v>
      </c>
      <c r="F4" s="3">
        <f t="shared" si="0"/>
        <v>39600</v>
      </c>
      <c r="G4" s="4">
        <v>43719</v>
      </c>
    </row>
    <row r="5" spans="1:7" x14ac:dyDescent="0.3">
      <c r="A5" s="3" t="s">
        <v>7</v>
      </c>
      <c r="B5" s="3" t="s">
        <v>10</v>
      </c>
      <c r="C5" s="3" t="s">
        <v>20</v>
      </c>
      <c r="D5" s="3">
        <v>100</v>
      </c>
      <c r="E5" s="3">
        <v>396</v>
      </c>
      <c r="F5" s="3">
        <f t="shared" si="0"/>
        <v>39600</v>
      </c>
      <c r="G5" s="4">
        <v>43610</v>
      </c>
    </row>
    <row r="6" spans="1:7" x14ac:dyDescent="0.3">
      <c r="A6" s="3" t="s">
        <v>7</v>
      </c>
      <c r="B6" s="3" t="s">
        <v>10</v>
      </c>
      <c r="C6" s="3" t="s">
        <v>21</v>
      </c>
      <c r="D6" s="3">
        <v>100</v>
      </c>
      <c r="E6" s="3">
        <v>528</v>
      </c>
      <c r="F6" s="3">
        <f t="shared" si="0"/>
        <v>52800</v>
      </c>
      <c r="G6" s="4">
        <v>43517</v>
      </c>
    </row>
    <row r="7" spans="1:7" x14ac:dyDescent="0.3">
      <c r="A7" s="3" t="s">
        <v>7</v>
      </c>
      <c r="B7" s="3" t="s">
        <v>10</v>
      </c>
      <c r="C7" s="3" t="s">
        <v>20</v>
      </c>
      <c r="D7" s="3">
        <v>100</v>
      </c>
      <c r="E7" s="3">
        <v>660</v>
      </c>
      <c r="F7" s="3">
        <f t="shared" si="0"/>
        <v>66000</v>
      </c>
      <c r="G7" s="4">
        <v>43984</v>
      </c>
    </row>
    <row r="8" spans="1:7" x14ac:dyDescent="0.3">
      <c r="A8" s="3" t="s">
        <v>7</v>
      </c>
      <c r="B8" s="3" t="s">
        <v>10</v>
      </c>
      <c r="C8" s="3" t="s">
        <v>20</v>
      </c>
      <c r="D8" s="3">
        <v>100</v>
      </c>
      <c r="E8" s="3">
        <v>462</v>
      </c>
      <c r="F8" s="3">
        <f t="shared" si="0"/>
        <v>46200</v>
      </c>
      <c r="G8" s="4">
        <v>43949</v>
      </c>
    </row>
    <row r="9" spans="1:7" x14ac:dyDescent="0.3">
      <c r="A9" s="3" t="s">
        <v>7</v>
      </c>
      <c r="B9" s="3" t="s">
        <v>10</v>
      </c>
      <c r="C9" s="3" t="s">
        <v>20</v>
      </c>
      <c r="D9" s="3">
        <v>100</v>
      </c>
      <c r="E9" s="3">
        <v>390</v>
      </c>
      <c r="F9" s="3">
        <f t="shared" si="0"/>
        <v>39000</v>
      </c>
      <c r="G9" s="4">
        <v>44092</v>
      </c>
    </row>
    <row r="10" spans="1:7" x14ac:dyDescent="0.3">
      <c r="A10" s="3" t="s">
        <v>7</v>
      </c>
      <c r="B10" s="3" t="s">
        <v>10</v>
      </c>
      <c r="C10" s="3" t="s">
        <v>21</v>
      </c>
      <c r="D10" s="3">
        <v>100</v>
      </c>
      <c r="E10" s="3">
        <v>528</v>
      </c>
      <c r="F10" s="3">
        <f t="shared" si="0"/>
        <v>52800</v>
      </c>
      <c r="G10" s="4">
        <v>44153</v>
      </c>
    </row>
    <row r="11" spans="1:7" x14ac:dyDescent="0.3">
      <c r="A11" s="3" t="s">
        <v>7</v>
      </c>
      <c r="B11" s="3" t="s">
        <v>10</v>
      </c>
      <c r="C11" s="3" t="s">
        <v>20</v>
      </c>
      <c r="D11" s="3">
        <v>100</v>
      </c>
      <c r="E11" s="3">
        <v>660</v>
      </c>
      <c r="F11" s="3">
        <f t="shared" si="0"/>
        <v>66000</v>
      </c>
      <c r="G11" s="4">
        <v>44009</v>
      </c>
    </row>
    <row r="12" spans="1:7" x14ac:dyDescent="0.3">
      <c r="A12" s="3" t="s">
        <v>7</v>
      </c>
      <c r="B12" s="3" t="s">
        <v>10</v>
      </c>
      <c r="C12" s="3" t="s">
        <v>20</v>
      </c>
      <c r="D12" s="3">
        <v>100</v>
      </c>
      <c r="E12" s="3">
        <v>462</v>
      </c>
      <c r="F12" s="3">
        <f t="shared" si="0"/>
        <v>46200</v>
      </c>
      <c r="G12" s="4">
        <v>44023</v>
      </c>
    </row>
    <row r="13" spans="1:7" x14ac:dyDescent="0.3">
      <c r="A13" s="3" t="s">
        <v>7</v>
      </c>
      <c r="B13" s="3" t="s">
        <v>10</v>
      </c>
      <c r="C13" s="3" t="s">
        <v>20</v>
      </c>
      <c r="D13" s="3">
        <v>100</v>
      </c>
      <c r="E13" s="3">
        <v>396</v>
      </c>
      <c r="F13" s="3">
        <f t="shared" si="0"/>
        <v>39600</v>
      </c>
      <c r="G13" s="4">
        <v>43761</v>
      </c>
    </row>
    <row r="14" spans="1:7" x14ac:dyDescent="0.3">
      <c r="A14" s="3" t="s">
        <v>7</v>
      </c>
      <c r="B14" s="3" t="s">
        <v>10</v>
      </c>
      <c r="C14" s="3" t="s">
        <v>21</v>
      </c>
      <c r="D14" s="3">
        <v>100</v>
      </c>
      <c r="E14" s="3">
        <v>528</v>
      </c>
      <c r="F14" s="3">
        <f t="shared" si="0"/>
        <v>52800</v>
      </c>
      <c r="G14" s="4">
        <v>43970</v>
      </c>
    </row>
    <row r="15" spans="1:7" x14ac:dyDescent="0.3">
      <c r="A15" s="3" t="s">
        <v>7</v>
      </c>
      <c r="B15" s="3" t="s">
        <v>10</v>
      </c>
      <c r="C15" s="3" t="s">
        <v>20</v>
      </c>
      <c r="D15" s="3">
        <v>100</v>
      </c>
      <c r="E15" s="3">
        <v>660</v>
      </c>
      <c r="F15" s="3">
        <f t="shared" si="0"/>
        <v>66000</v>
      </c>
      <c r="G15" s="4">
        <v>44121</v>
      </c>
    </row>
    <row r="16" spans="1:7" x14ac:dyDescent="0.3">
      <c r="A16" s="3" t="s">
        <v>7</v>
      </c>
      <c r="B16" s="3" t="s">
        <v>10</v>
      </c>
      <c r="C16" s="3" t="s">
        <v>20</v>
      </c>
      <c r="D16" s="3">
        <v>100</v>
      </c>
      <c r="E16" s="3">
        <v>462</v>
      </c>
      <c r="F16" s="3">
        <f t="shared" si="0"/>
        <v>46200</v>
      </c>
      <c r="G16" s="4">
        <v>44102</v>
      </c>
    </row>
    <row r="17" spans="1:7" x14ac:dyDescent="0.3">
      <c r="A17" s="3" t="s">
        <v>7</v>
      </c>
      <c r="B17" s="3" t="s">
        <v>10</v>
      </c>
      <c r="C17" s="3" t="s">
        <v>17</v>
      </c>
      <c r="D17" s="3">
        <v>100</v>
      </c>
      <c r="E17" s="3">
        <v>396</v>
      </c>
      <c r="F17" s="3">
        <f t="shared" si="0"/>
        <v>39600</v>
      </c>
      <c r="G17" s="4">
        <v>44174</v>
      </c>
    </row>
    <row r="18" spans="1:7" x14ac:dyDescent="0.3">
      <c r="A18" s="3" t="s">
        <v>7</v>
      </c>
      <c r="B18" s="3" t="s">
        <v>10</v>
      </c>
      <c r="C18" s="3" t="s">
        <v>18</v>
      </c>
      <c r="D18" s="3">
        <v>100</v>
      </c>
      <c r="E18" s="3">
        <v>462</v>
      </c>
      <c r="F18" s="3">
        <f t="shared" si="0"/>
        <v>46200</v>
      </c>
      <c r="G18" s="4">
        <v>44105</v>
      </c>
    </row>
    <row r="19" spans="1:7" x14ac:dyDescent="0.3">
      <c r="A19" s="3" t="s">
        <v>7</v>
      </c>
      <c r="B19" s="3" t="s">
        <v>10</v>
      </c>
      <c r="C19" s="3" t="s">
        <v>19</v>
      </c>
      <c r="D19" s="3">
        <v>100</v>
      </c>
      <c r="E19" s="3">
        <v>396</v>
      </c>
      <c r="F19" s="3">
        <f t="shared" si="0"/>
        <v>39600</v>
      </c>
      <c r="G19" s="4">
        <v>43887</v>
      </c>
    </row>
    <row r="20" spans="1:7" x14ac:dyDescent="0.3">
      <c r="A20" s="3" t="s">
        <v>7</v>
      </c>
      <c r="B20" s="3" t="s">
        <v>11</v>
      </c>
      <c r="C20" s="3" t="s">
        <v>20</v>
      </c>
      <c r="D20" s="3">
        <v>100</v>
      </c>
      <c r="E20" s="3">
        <v>396</v>
      </c>
      <c r="F20" s="3">
        <f t="shared" si="0"/>
        <v>39600</v>
      </c>
      <c r="G20" s="4">
        <v>43878</v>
      </c>
    </row>
    <row r="21" spans="1:7" x14ac:dyDescent="0.3">
      <c r="A21" s="3" t="s">
        <v>7</v>
      </c>
      <c r="B21" s="3" t="s">
        <v>11</v>
      </c>
      <c r="C21" s="3" t="s">
        <v>21</v>
      </c>
      <c r="D21" s="3">
        <v>10</v>
      </c>
      <c r="E21" s="3">
        <v>528</v>
      </c>
      <c r="F21" s="3">
        <f t="shared" ref="F21:F45" si="1">E21*D21</f>
        <v>5280</v>
      </c>
      <c r="G21" s="4">
        <v>44020</v>
      </c>
    </row>
    <row r="22" spans="1:7" x14ac:dyDescent="0.3">
      <c r="A22" s="3" t="s">
        <v>7</v>
      </c>
      <c r="B22" s="3" t="s">
        <v>11</v>
      </c>
      <c r="C22" s="3" t="s">
        <v>21</v>
      </c>
      <c r="D22" s="3">
        <v>10</v>
      </c>
      <c r="E22" s="3">
        <v>660</v>
      </c>
      <c r="F22" s="3">
        <f t="shared" si="1"/>
        <v>6600</v>
      </c>
      <c r="G22" s="4">
        <v>44158</v>
      </c>
    </row>
    <row r="23" spans="1:7" x14ac:dyDescent="0.3">
      <c r="A23" s="3" t="s">
        <v>7</v>
      </c>
      <c r="B23" s="3" t="s">
        <v>11</v>
      </c>
      <c r="C23" s="3" t="s">
        <v>20</v>
      </c>
      <c r="D23" s="3">
        <v>20</v>
      </c>
      <c r="E23" s="3">
        <v>462</v>
      </c>
      <c r="F23" s="3">
        <f t="shared" si="1"/>
        <v>9240</v>
      </c>
      <c r="G23" s="4">
        <v>44163</v>
      </c>
    </row>
    <row r="24" spans="1:7" x14ac:dyDescent="0.3">
      <c r="A24" s="3" t="s">
        <v>7</v>
      </c>
      <c r="B24" s="3" t="s">
        <v>11</v>
      </c>
      <c r="C24" s="3" t="s">
        <v>20</v>
      </c>
      <c r="D24" s="3">
        <v>32</v>
      </c>
      <c r="E24" s="3">
        <v>396</v>
      </c>
      <c r="F24" s="3">
        <f t="shared" si="1"/>
        <v>12672</v>
      </c>
      <c r="G24" s="4">
        <v>44099</v>
      </c>
    </row>
    <row r="25" spans="1:7" x14ac:dyDescent="0.3">
      <c r="A25" s="3" t="s">
        <v>7</v>
      </c>
      <c r="B25" s="3" t="s">
        <v>11</v>
      </c>
      <c r="C25" s="3" t="s">
        <v>20</v>
      </c>
      <c r="D25" s="3">
        <v>5</v>
      </c>
      <c r="E25" s="3">
        <v>528</v>
      </c>
      <c r="F25" s="3">
        <f t="shared" si="1"/>
        <v>2640</v>
      </c>
      <c r="G25" s="4">
        <v>43838</v>
      </c>
    </row>
    <row r="26" spans="1:7" x14ac:dyDescent="0.3">
      <c r="A26" s="3" t="s">
        <v>7</v>
      </c>
      <c r="B26" s="3" t="s">
        <v>11</v>
      </c>
      <c r="C26" s="3" t="s">
        <v>21</v>
      </c>
      <c r="D26" s="3">
        <v>3</v>
      </c>
      <c r="E26" s="3">
        <v>660</v>
      </c>
      <c r="F26" s="3">
        <f t="shared" si="1"/>
        <v>1980</v>
      </c>
      <c r="G26" s="4">
        <v>43864</v>
      </c>
    </row>
    <row r="27" spans="1:7" x14ac:dyDescent="0.3">
      <c r="A27" s="3" t="s">
        <v>7</v>
      </c>
      <c r="B27" s="3" t="s">
        <v>11</v>
      </c>
      <c r="C27" s="3" t="s">
        <v>20</v>
      </c>
      <c r="D27" s="3">
        <v>3</v>
      </c>
      <c r="E27" s="3">
        <v>462</v>
      </c>
      <c r="F27" s="3">
        <f t="shared" si="1"/>
        <v>1386</v>
      </c>
      <c r="G27" s="4">
        <v>43755</v>
      </c>
    </row>
    <row r="28" spans="1:7" x14ac:dyDescent="0.3">
      <c r="A28" s="3" t="s">
        <v>7</v>
      </c>
      <c r="B28" s="3" t="s">
        <v>11</v>
      </c>
      <c r="C28" s="3" t="s">
        <v>20</v>
      </c>
      <c r="D28" s="3">
        <v>5</v>
      </c>
      <c r="E28" s="3">
        <v>528</v>
      </c>
      <c r="F28" s="3">
        <f t="shared" si="1"/>
        <v>2640</v>
      </c>
      <c r="G28" s="4">
        <v>43674</v>
      </c>
    </row>
    <row r="29" spans="1:7" x14ac:dyDescent="0.3">
      <c r="A29" s="3" t="s">
        <v>7</v>
      </c>
      <c r="B29" s="3" t="s">
        <v>11</v>
      </c>
      <c r="C29" s="3" t="s">
        <v>22</v>
      </c>
      <c r="D29" s="3">
        <v>3</v>
      </c>
      <c r="E29" s="3">
        <v>660</v>
      </c>
      <c r="F29" s="3">
        <f t="shared" si="1"/>
        <v>1980</v>
      </c>
      <c r="G29" s="4">
        <v>43735</v>
      </c>
    </row>
    <row r="30" spans="1:7" x14ac:dyDescent="0.3">
      <c r="A30" s="3" t="s">
        <v>7</v>
      </c>
      <c r="B30" s="3" t="s">
        <v>11</v>
      </c>
      <c r="C30" s="3" t="s">
        <v>17</v>
      </c>
      <c r="D30" s="3">
        <v>32</v>
      </c>
      <c r="E30" s="3">
        <v>462</v>
      </c>
      <c r="F30" s="3">
        <f t="shared" si="1"/>
        <v>14784</v>
      </c>
      <c r="G30" s="4">
        <v>43818</v>
      </c>
    </row>
    <row r="31" spans="1:7" x14ac:dyDescent="0.3">
      <c r="A31" s="3" t="s">
        <v>7</v>
      </c>
      <c r="B31" s="3" t="s">
        <v>11</v>
      </c>
      <c r="C31" s="3" t="s">
        <v>23</v>
      </c>
      <c r="D31" s="3">
        <v>5</v>
      </c>
      <c r="E31" s="3">
        <v>390</v>
      </c>
      <c r="F31" s="3">
        <f t="shared" si="1"/>
        <v>1950</v>
      </c>
      <c r="G31" s="4">
        <v>43734</v>
      </c>
    </row>
    <row r="32" spans="1:7" x14ac:dyDescent="0.3">
      <c r="A32" s="3" t="s">
        <v>7</v>
      </c>
      <c r="B32" s="3" t="s">
        <v>11</v>
      </c>
      <c r="C32" s="3" t="s">
        <v>23</v>
      </c>
      <c r="D32" s="3">
        <v>3</v>
      </c>
      <c r="E32" s="3">
        <v>528</v>
      </c>
      <c r="F32" s="3">
        <f t="shared" si="1"/>
        <v>1584</v>
      </c>
      <c r="G32" s="4">
        <v>43857</v>
      </c>
    </row>
    <row r="33" spans="1:7" x14ac:dyDescent="0.3">
      <c r="A33" s="3" t="s">
        <v>7</v>
      </c>
      <c r="B33" s="3" t="s">
        <v>11</v>
      </c>
      <c r="C33" s="3" t="s">
        <v>22</v>
      </c>
      <c r="D33" s="3">
        <v>3</v>
      </c>
      <c r="E33" s="3">
        <v>660</v>
      </c>
      <c r="F33" s="3">
        <f t="shared" si="1"/>
        <v>1980</v>
      </c>
      <c r="G33" s="4">
        <v>43772</v>
      </c>
    </row>
    <row r="34" spans="1:7" x14ac:dyDescent="0.3">
      <c r="A34" s="3" t="s">
        <v>7</v>
      </c>
      <c r="B34" s="3" t="s">
        <v>11</v>
      </c>
      <c r="C34" s="3" t="s">
        <v>23</v>
      </c>
      <c r="D34" s="3">
        <v>10</v>
      </c>
      <c r="E34" s="3">
        <v>462</v>
      </c>
      <c r="F34" s="3">
        <f t="shared" si="1"/>
        <v>4620</v>
      </c>
      <c r="G34" s="4">
        <v>43869</v>
      </c>
    </row>
    <row r="35" spans="1:7" x14ac:dyDescent="0.3">
      <c r="A35" s="3" t="s">
        <v>7</v>
      </c>
      <c r="B35" s="3" t="s">
        <v>11</v>
      </c>
      <c r="C35" s="3" t="s">
        <v>20</v>
      </c>
      <c r="D35" s="3">
        <v>4</v>
      </c>
      <c r="E35" s="5">
        <v>2850</v>
      </c>
      <c r="F35" s="3">
        <f t="shared" si="1"/>
        <v>11400</v>
      </c>
      <c r="G35" s="4">
        <v>44123</v>
      </c>
    </row>
    <row r="36" spans="1:7" x14ac:dyDescent="0.3">
      <c r="A36" s="3" t="s">
        <v>7</v>
      </c>
      <c r="B36" s="3" t="s">
        <v>11</v>
      </c>
      <c r="C36" s="3" t="s">
        <v>20</v>
      </c>
      <c r="D36" s="3">
        <v>15</v>
      </c>
      <c r="E36" s="3">
        <v>2000</v>
      </c>
      <c r="F36" s="3">
        <f t="shared" si="1"/>
        <v>30000</v>
      </c>
      <c r="G36" s="4">
        <v>44152</v>
      </c>
    </row>
    <row r="37" spans="1:7" x14ac:dyDescent="0.3">
      <c r="A37" s="3" t="s">
        <v>7</v>
      </c>
      <c r="B37" s="3" t="s">
        <v>11</v>
      </c>
      <c r="C37" s="3" t="s">
        <v>23</v>
      </c>
      <c r="D37" s="3">
        <v>56</v>
      </c>
      <c r="E37" s="3">
        <v>3250</v>
      </c>
      <c r="F37" s="3">
        <f t="shared" si="1"/>
        <v>182000</v>
      </c>
      <c r="G37" s="4">
        <v>43839</v>
      </c>
    </row>
    <row r="38" spans="1:7" x14ac:dyDescent="0.3">
      <c r="A38" s="3" t="s">
        <v>8</v>
      </c>
      <c r="B38" s="3" t="s">
        <v>12</v>
      </c>
      <c r="C38" s="3" t="s">
        <v>22</v>
      </c>
      <c r="D38" s="3">
        <v>15</v>
      </c>
      <c r="E38" s="3">
        <v>2000</v>
      </c>
      <c r="F38" s="3">
        <f t="shared" si="1"/>
        <v>30000</v>
      </c>
      <c r="G38" s="4">
        <v>43890</v>
      </c>
    </row>
    <row r="39" spans="1:7" x14ac:dyDescent="0.3">
      <c r="A39" s="3" t="s">
        <v>8</v>
      </c>
      <c r="B39" s="3" t="s">
        <v>13</v>
      </c>
      <c r="C39" s="3" t="s">
        <v>22</v>
      </c>
      <c r="D39" s="3">
        <v>25</v>
      </c>
      <c r="E39" s="3">
        <v>3200</v>
      </c>
      <c r="F39" s="3">
        <f t="shared" si="1"/>
        <v>80000</v>
      </c>
      <c r="G39" s="4">
        <v>43639</v>
      </c>
    </row>
    <row r="40" spans="1:7" x14ac:dyDescent="0.3">
      <c r="A40" s="3" t="s">
        <v>8</v>
      </c>
      <c r="B40" s="3" t="s">
        <v>14</v>
      </c>
      <c r="C40" s="3" t="s">
        <v>17</v>
      </c>
      <c r="D40" s="3">
        <v>8</v>
      </c>
      <c r="E40" s="3">
        <v>3500</v>
      </c>
      <c r="F40" s="3">
        <f t="shared" si="1"/>
        <v>28000</v>
      </c>
      <c r="G40" s="4">
        <v>43959</v>
      </c>
    </row>
    <row r="41" spans="1:7" x14ac:dyDescent="0.3">
      <c r="A41" s="3" t="s">
        <v>8</v>
      </c>
      <c r="B41" s="3" t="s">
        <v>15</v>
      </c>
      <c r="C41" s="3" t="s">
        <v>19</v>
      </c>
      <c r="D41" s="3">
        <v>15</v>
      </c>
      <c r="E41" s="3">
        <v>1850</v>
      </c>
      <c r="F41" s="3">
        <f t="shared" si="1"/>
        <v>27750</v>
      </c>
      <c r="G41" s="4">
        <v>43878</v>
      </c>
    </row>
    <row r="42" spans="1:7" x14ac:dyDescent="0.3">
      <c r="A42" s="3" t="s">
        <v>8</v>
      </c>
      <c r="B42" s="3" t="s">
        <v>12</v>
      </c>
      <c r="C42" s="3" t="s">
        <v>19</v>
      </c>
      <c r="D42" s="3">
        <v>10</v>
      </c>
      <c r="E42" s="3">
        <v>2500</v>
      </c>
      <c r="F42" s="3">
        <f t="shared" si="1"/>
        <v>25000</v>
      </c>
      <c r="G42" s="4">
        <v>44121</v>
      </c>
    </row>
    <row r="43" spans="1:7" x14ac:dyDescent="0.3">
      <c r="A43" s="3" t="s">
        <v>8</v>
      </c>
      <c r="B43" s="3" t="s">
        <v>16</v>
      </c>
      <c r="C43" s="3" t="s">
        <v>17</v>
      </c>
      <c r="D43" s="3">
        <v>7</v>
      </c>
      <c r="E43" s="3">
        <v>1000</v>
      </c>
      <c r="F43" s="3">
        <f t="shared" si="1"/>
        <v>7000</v>
      </c>
      <c r="G43" s="4">
        <v>44063</v>
      </c>
    </row>
    <row r="44" spans="1:7" x14ac:dyDescent="0.3">
      <c r="A44" s="3" t="s">
        <v>8</v>
      </c>
      <c r="B44" s="3" t="s">
        <v>15</v>
      </c>
      <c r="C44" s="3" t="s">
        <v>23</v>
      </c>
      <c r="D44" s="3">
        <v>10</v>
      </c>
      <c r="E44" s="3">
        <v>3000</v>
      </c>
      <c r="F44" s="3">
        <f t="shared" si="1"/>
        <v>30000</v>
      </c>
      <c r="G44" s="4">
        <v>44034</v>
      </c>
    </row>
    <row r="45" spans="1:7" x14ac:dyDescent="0.3">
      <c r="A45" s="3" t="s">
        <v>8</v>
      </c>
      <c r="B45" s="3" t="s">
        <v>12</v>
      </c>
      <c r="C45" s="3" t="s">
        <v>22</v>
      </c>
      <c r="D45" s="3">
        <v>20</v>
      </c>
      <c r="E45" s="3">
        <v>2500</v>
      </c>
      <c r="F45" s="3">
        <f t="shared" si="1"/>
        <v>50000</v>
      </c>
      <c r="G45" s="4">
        <v>44029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Sayfa2</vt:lpstr>
      <vt:lpstr>Sayfa4</vt:lpstr>
      <vt:lpstr>Ayrıntı1</vt:lpstr>
      <vt:lpstr>CD-ROM</vt:lpstr>
      <vt:lpstr>COMPUTER</vt:lpstr>
      <vt:lpstr>Sayfa5</vt:lpstr>
      <vt:lpstr>Ayrıntı2</vt:lpstr>
      <vt:lpstr>Sayfa8</vt:lpstr>
      <vt:lpstr>Ayrıntı3</vt:lpstr>
      <vt:lpstr>Sayfa9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2026-01-13T11:42:26Z</dcterms:created>
  <dcterms:modified xsi:type="dcterms:W3CDTF">2026-01-13T17:47:43Z</dcterms:modified>
</cp:coreProperties>
</file>