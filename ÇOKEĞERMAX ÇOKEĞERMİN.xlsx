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6" documentId="8_{82C19394-4E57-49A9-87FA-DB5F3C5F1087}" xr6:coauthVersionLast="47" xr6:coauthVersionMax="47" xr10:uidLastSave="{831BC4B3-6F80-4791-8E09-99AF62116EE4}"/>
  <bookViews>
    <workbookView xWindow="-108" yWindow="-108" windowWidth="23256" windowHeight="12456" xr2:uid="{BDFAF725-84ED-4EFA-B3EE-770300C8787C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9" i="1"/>
  <c r="J31" i="1"/>
  <c r="J25" i="1"/>
  <c r="J21" i="1"/>
  <c r="N13" i="1"/>
  <c r="N10" i="1"/>
  <c r="N4" i="1"/>
  <c r="N7" i="1"/>
  <c r="J33" i="1"/>
  <c r="J18" i="1"/>
  <c r="J16" i="1"/>
  <c r="L12" i="1"/>
  <c r="L11" i="1" l="1"/>
  <c r="L7" i="1"/>
  <c r="L6" i="1"/>
  <c r="L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<sst xmlns="http://schemas.openxmlformats.org/spreadsheetml/2006/main" count="125" uniqueCount="36">
  <si>
    <t>Ürün Adı</t>
  </si>
  <si>
    <t>Marka</t>
  </si>
  <si>
    <t>Bölge</t>
  </si>
  <si>
    <t>Adet</t>
  </si>
  <si>
    <t>Fiyat</t>
  </si>
  <si>
    <t>Toplam</t>
  </si>
  <si>
    <t>CD-ROM</t>
  </si>
  <si>
    <t>CREATİVE</t>
  </si>
  <si>
    <t>ADANA</t>
  </si>
  <si>
    <t>MONITOR</t>
  </si>
  <si>
    <t>IBM</t>
  </si>
  <si>
    <t>MICROSOFT</t>
  </si>
  <si>
    <t>MOUSE</t>
  </si>
  <si>
    <t>CANON</t>
  </si>
  <si>
    <t>PRİNTER</t>
  </si>
  <si>
    <t>ANKARA</t>
  </si>
  <si>
    <t>PACKARD BELL</t>
  </si>
  <si>
    <t>HP</t>
  </si>
  <si>
    <t>COMPUTER</t>
  </si>
  <si>
    <t>Ankara</t>
  </si>
  <si>
    <t>Canon</t>
  </si>
  <si>
    <t>Ortalaması</t>
  </si>
  <si>
    <t>Sayısı</t>
  </si>
  <si>
    <t>100 adetllik kaç adet satış yapılmıştır</t>
  </si>
  <si>
    <t xml:space="preserve">10 adetlik kaç adet satış yapılmıştır </t>
  </si>
  <si>
    <t>Markası IBM olan ve fiyatı 20 nin altında olan ürünlerin toplam satış tutarı</t>
  </si>
  <si>
    <t xml:space="preserve">Fiyatı 350-750 arasında olanların toplamı </t>
  </si>
  <si>
    <t>Fiyatı 500-1000 arasında olanların toplamı</t>
  </si>
  <si>
    <t>fiyatı 750-1000 arasında olanların toplamı</t>
  </si>
  <si>
    <t>Ankara da fiyatı 10-20 arası olanların toplam satış adeti</t>
  </si>
  <si>
    <t>ADANA DA</t>
  </si>
  <si>
    <t>ADANADA</t>
  </si>
  <si>
    <t>Ankara'da satışlarda gelen en yüksek toplam</t>
  </si>
  <si>
    <t>EN DÜŞÜK</t>
  </si>
  <si>
    <t>fiyat max</t>
  </si>
  <si>
    <t>Fiyat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</si>
</sst>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₺-41F]* #,##0.00_-;\-[$₺-41F]* #,##0.00_-;_-[$₺-41F]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E2C-51C6-472F-ADB9-B642B0A4D0A0}">
  <dimension ref="A1:N33"/>
  <sheetViews>
    <sheetView tabSelected="1" workbookViewId="0">
      <selection activeCell="N15" sqref="N15"/>
    </sheetView>
  </sheetViews>
  <sheetFormatPr defaultRowHeight="14.4" x14ac:dyDescent="0.3"/>
  <cols>
    <col min="2" max="2" width="13.109375" bestFit="1" customWidth="1"/>
    <col min="5" max="5" width="12.33203125" bestFit="1" customWidth="1"/>
    <col min="6" max="6" width="14" bestFit="1" customWidth="1"/>
    <col min="10" max="10" width="37" customWidth="1"/>
    <col min="11" max="11" width="13.109375" bestFit="1" customWidth="1"/>
    <col min="12" max="12" width="14.33203125" customWidth="1"/>
    <col min="14" max="14" width="9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J1" s="1" t="s">
        <v>2</v>
      </c>
      <c r="K1" s="1" t="s">
        <v>1</v>
      </c>
      <c r="L1" s="2" t="s">
        <v>5</v>
      </c>
    </row>
    <row r="2" spans="1:14" x14ac:dyDescent="0.3">
      <c r="A2" s="3" t="s">
        <v>6</v>
      </c>
      <c r="B2" s="3" t="s">
        <v>7</v>
      </c>
      <c r="C2" s="3" t="s">
        <v>8</v>
      </c>
      <c r="D2" s="3">
        <v>10</v>
      </c>
      <c r="E2" s="5">
        <v>350</v>
      </c>
      <c r="F2" s="4">
        <f>SUM(E2*D2)</f>
        <v>3500</v>
      </c>
      <c r="J2" t="s">
        <v>19</v>
      </c>
      <c r="K2" t="s">
        <v>20</v>
      </c>
      <c r="L2">
        <f>SUMIFS(F:F,C:C,J2,B:B,K2)</f>
        <v>3200</v>
      </c>
    </row>
    <row r="3" spans="1:14" x14ac:dyDescent="0.3">
      <c r="A3" s="3" t="s">
        <v>9</v>
      </c>
      <c r="B3" s="3" t="s">
        <v>10</v>
      </c>
      <c r="C3" s="3" t="s">
        <v>8</v>
      </c>
      <c r="D3" s="3">
        <v>15</v>
      </c>
      <c r="E3" s="5">
        <v>100000</v>
      </c>
      <c r="F3" s="4">
        <f>SUM(E3*D3)</f>
        <v>1500000</v>
      </c>
      <c r="N3" t="s">
        <v>32</v>
      </c>
    </row>
    <row r="4" spans="1:14" x14ac:dyDescent="0.3">
      <c r="A4" s="3" t="s">
        <v>9</v>
      </c>
      <c r="B4" s="3" t="s">
        <v>10</v>
      </c>
      <c r="C4" s="3" t="s">
        <v>8</v>
      </c>
      <c r="D4" s="3">
        <v>15</v>
      </c>
      <c r="E4" s="5">
        <v>100000</v>
      </c>
      <c r="F4" s="4">
        <f>SUM(E4*D4)</f>
        <v>1500000</v>
      </c>
      <c r="N4" s="4" t="e">
        <f>MAX(F:F,Q4C:N3:Q7,"ADANA")</f>
        <v>#NAME?</v>
      </c>
    </row>
    <row r="5" spans="1:14" x14ac:dyDescent="0.3">
      <c r="A5" s="3" t="s">
        <v>9</v>
      </c>
      <c r="B5" s="3" t="s">
        <v>10</v>
      </c>
      <c r="C5" s="3" t="s">
        <v>8</v>
      </c>
      <c r="D5" s="3">
        <v>15</v>
      </c>
      <c r="E5" s="5">
        <v>100000</v>
      </c>
      <c r="F5" s="4">
        <f t="shared" ref="F5:F30" si="0">SUM(E5*D5)</f>
        <v>1500000</v>
      </c>
      <c r="J5" s="1" t="s">
        <v>2</v>
      </c>
      <c r="K5" s="1" t="s">
        <v>1</v>
      </c>
      <c r="L5" s="2" t="s">
        <v>21</v>
      </c>
    </row>
    <row r="6" spans="1:14" x14ac:dyDescent="0.3">
      <c r="A6" s="3" t="s">
        <v>9</v>
      </c>
      <c r="B6" s="3" t="s">
        <v>10</v>
      </c>
      <c r="C6" s="3" t="s">
        <v>8</v>
      </c>
      <c r="D6" s="3">
        <v>15</v>
      </c>
      <c r="E6" s="5">
        <v>100000</v>
      </c>
      <c r="F6" s="4">
        <f t="shared" si="0"/>
        <v>1500000</v>
      </c>
      <c r="J6" t="s">
        <v>8</v>
      </c>
      <c r="K6" t="s">
        <v>11</v>
      </c>
      <c r="L6">
        <f>AVERAGEIFS(E:E,C:C,J6,B:B,K6)</f>
        <v>25075</v>
      </c>
      <c r="N6" t="s">
        <v>33</v>
      </c>
    </row>
    <row r="7" spans="1:14" x14ac:dyDescent="0.3">
      <c r="A7" s="3" t="s">
        <v>9</v>
      </c>
      <c r="B7" s="3" t="s">
        <v>11</v>
      </c>
      <c r="C7" s="3" t="s">
        <v>8</v>
      </c>
      <c r="D7" s="3">
        <v>15</v>
      </c>
      <c r="E7" s="5">
        <v>100000</v>
      </c>
      <c r="F7" s="4">
        <f t="shared" si="0"/>
        <v>1500000</v>
      </c>
      <c r="J7" t="s">
        <v>15</v>
      </c>
      <c r="K7" t="s">
        <v>16</v>
      </c>
      <c r="L7">
        <f>AVERAGEIFS(E:E,C:C,J7,B:B,K7)</f>
        <v>11</v>
      </c>
      <c r="N7" s="4" t="e">
        <f>MIN(F:F,C:C,"ANKARA")</f>
        <v>#VALUE!</v>
      </c>
    </row>
    <row r="8" spans="1:14" x14ac:dyDescent="0.3">
      <c r="A8" s="3" t="s">
        <v>12</v>
      </c>
      <c r="B8" s="3" t="s">
        <v>11</v>
      </c>
      <c r="C8" s="3" t="s">
        <v>8</v>
      </c>
      <c r="D8" s="3">
        <v>100</v>
      </c>
      <c r="E8" s="5">
        <v>100</v>
      </c>
      <c r="F8" s="4">
        <f t="shared" si="0"/>
        <v>10000</v>
      </c>
    </row>
    <row r="9" spans="1:14" x14ac:dyDescent="0.3">
      <c r="A9" s="3" t="s">
        <v>12</v>
      </c>
      <c r="B9" s="3" t="s">
        <v>11</v>
      </c>
      <c r="C9" s="3" t="s">
        <v>8</v>
      </c>
      <c r="D9" s="3">
        <v>100</v>
      </c>
      <c r="E9" s="5">
        <v>100</v>
      </c>
      <c r="F9" s="4">
        <f t="shared" si="0"/>
        <v>10000</v>
      </c>
      <c r="N9" t="s">
        <v>34</v>
      </c>
    </row>
    <row r="10" spans="1:14" x14ac:dyDescent="0.3">
      <c r="A10" s="3" t="s">
        <v>12</v>
      </c>
      <c r="B10" s="3" t="s">
        <v>11</v>
      </c>
      <c r="C10" s="3" t="s">
        <v>8</v>
      </c>
      <c r="D10" s="3">
        <v>100</v>
      </c>
      <c r="E10" s="5">
        <v>100</v>
      </c>
      <c r="F10" s="4">
        <f t="shared" si="0"/>
        <v>10000</v>
      </c>
      <c r="J10" s="1" t="s">
        <v>2</v>
      </c>
      <c r="K10" s="1" t="s">
        <v>1</v>
      </c>
      <c r="L10" s="2" t="s">
        <v>22</v>
      </c>
      <c r="N10" s="4" t="e">
        <f>MAX(E:P10E,C:C,"ANKARA")</f>
        <v>#NAME?</v>
      </c>
    </row>
    <row r="11" spans="1:14" x14ac:dyDescent="0.3">
      <c r="A11" s="3" t="s">
        <v>12</v>
      </c>
      <c r="B11" s="3" t="s">
        <v>13</v>
      </c>
      <c r="C11" s="3" t="s">
        <v>8</v>
      </c>
      <c r="D11" s="3">
        <v>100</v>
      </c>
      <c r="E11" s="5">
        <v>100</v>
      </c>
      <c r="F11" s="4">
        <f t="shared" si="0"/>
        <v>10000</v>
      </c>
      <c r="J11" t="s">
        <v>15</v>
      </c>
      <c r="K11" t="s">
        <v>13</v>
      </c>
      <c r="L11">
        <f>COUNTIFS(C:C,J11,B:B,K11)</f>
        <v>4</v>
      </c>
    </row>
    <row r="12" spans="1:14" x14ac:dyDescent="0.3">
      <c r="A12" s="3" t="s">
        <v>14</v>
      </c>
      <c r="B12" s="3" t="s">
        <v>13</v>
      </c>
      <c r="C12" s="3" t="s">
        <v>15</v>
      </c>
      <c r="D12" s="3">
        <v>100</v>
      </c>
      <c r="E12" s="5">
        <v>20</v>
      </c>
      <c r="F12" s="4">
        <f t="shared" si="0"/>
        <v>2000</v>
      </c>
      <c r="J12" t="s">
        <v>8</v>
      </c>
      <c r="K12" t="s">
        <v>10</v>
      </c>
      <c r="L12">
        <f>COUNTIFS(C:C,J12,B:B,K12)</f>
        <v>4</v>
      </c>
      <c r="N12" t="s">
        <v>35</v>
      </c>
    </row>
    <row r="13" spans="1:14" x14ac:dyDescent="0.3">
      <c r="A13" s="3" t="s">
        <v>14</v>
      </c>
      <c r="B13" s="3" t="s">
        <v>13</v>
      </c>
      <c r="C13" s="3" t="s">
        <v>15</v>
      </c>
      <c r="D13" s="3">
        <v>20</v>
      </c>
      <c r="E13" s="5">
        <v>20</v>
      </c>
      <c r="F13" s="4">
        <f t="shared" si="0"/>
        <v>400</v>
      </c>
      <c r="N13" s="4" t="e">
        <f>MIN(E:E,C:C,"ANKARA")</f>
        <v>#VALUE!</v>
      </c>
    </row>
    <row r="14" spans="1:14" x14ac:dyDescent="0.3">
      <c r="A14" s="3" t="s">
        <v>14</v>
      </c>
      <c r="B14" s="3" t="s">
        <v>13</v>
      </c>
      <c r="C14" s="3" t="s">
        <v>15</v>
      </c>
      <c r="D14" s="3">
        <v>20</v>
      </c>
      <c r="E14" s="5">
        <v>20</v>
      </c>
      <c r="F14" s="4">
        <f t="shared" si="0"/>
        <v>400</v>
      </c>
    </row>
    <row r="15" spans="1:14" x14ac:dyDescent="0.3">
      <c r="A15" s="3" t="s">
        <v>14</v>
      </c>
      <c r="B15" s="3" t="s">
        <v>13</v>
      </c>
      <c r="C15" s="3" t="s">
        <v>15</v>
      </c>
      <c r="D15" s="3">
        <v>20</v>
      </c>
      <c r="E15" s="5">
        <v>20</v>
      </c>
      <c r="F15" s="4">
        <f t="shared" si="0"/>
        <v>400</v>
      </c>
      <c r="J15" t="s">
        <v>23</v>
      </c>
    </row>
    <row r="16" spans="1:14" x14ac:dyDescent="0.3">
      <c r="A16" s="3" t="s">
        <v>14</v>
      </c>
      <c r="B16" s="3" t="s">
        <v>16</v>
      </c>
      <c r="C16" s="3" t="s">
        <v>15</v>
      </c>
      <c r="D16" s="3">
        <v>20</v>
      </c>
      <c r="E16" s="5">
        <v>10</v>
      </c>
      <c r="F16" s="4">
        <f t="shared" si="0"/>
        <v>200</v>
      </c>
      <c r="J16">
        <f>COUNTIFS(D:D,100)</f>
        <v>5</v>
      </c>
    </row>
    <row r="17" spans="1:10" x14ac:dyDescent="0.3">
      <c r="A17" s="3" t="s">
        <v>9</v>
      </c>
      <c r="B17" s="3" t="s">
        <v>16</v>
      </c>
      <c r="C17" s="3" t="s">
        <v>15</v>
      </c>
      <c r="D17" s="3">
        <v>10</v>
      </c>
      <c r="E17" s="5">
        <v>10</v>
      </c>
      <c r="F17" s="4">
        <f t="shared" si="0"/>
        <v>100</v>
      </c>
      <c r="J17" t="s">
        <v>24</v>
      </c>
    </row>
    <row r="18" spans="1:10" x14ac:dyDescent="0.3">
      <c r="A18" s="3" t="s">
        <v>9</v>
      </c>
      <c r="B18" s="3" t="s">
        <v>16</v>
      </c>
      <c r="C18" s="3" t="s">
        <v>15</v>
      </c>
      <c r="D18" s="3">
        <v>10</v>
      </c>
      <c r="E18" s="5">
        <v>10</v>
      </c>
      <c r="F18" s="4">
        <f t="shared" si="0"/>
        <v>100</v>
      </c>
      <c r="J18">
        <f>COUNTIFS(D:D,10)</f>
        <v>8</v>
      </c>
    </row>
    <row r="19" spans="1:10" x14ac:dyDescent="0.3">
      <c r="A19" s="3" t="s">
        <v>9</v>
      </c>
      <c r="B19" s="3" t="s">
        <v>16</v>
      </c>
      <c r="C19" s="3" t="s">
        <v>15</v>
      </c>
      <c r="D19" s="3">
        <v>10</v>
      </c>
      <c r="E19" s="5">
        <v>10</v>
      </c>
      <c r="F19" s="4">
        <f t="shared" si="0"/>
        <v>100</v>
      </c>
    </row>
    <row r="20" spans="1:10" x14ac:dyDescent="0.3">
      <c r="A20" s="3" t="s">
        <v>9</v>
      </c>
      <c r="B20" s="3" t="s">
        <v>16</v>
      </c>
      <c r="C20" s="3" t="s">
        <v>15</v>
      </c>
      <c r="D20" s="3">
        <v>10</v>
      </c>
      <c r="E20" s="5">
        <v>15</v>
      </c>
      <c r="F20" s="4">
        <f t="shared" si="0"/>
        <v>150</v>
      </c>
      <c r="J20" t="s">
        <v>25</v>
      </c>
    </row>
    <row r="21" spans="1:10" x14ac:dyDescent="0.3">
      <c r="A21" s="3" t="s">
        <v>9</v>
      </c>
      <c r="B21" s="3" t="s">
        <v>17</v>
      </c>
      <c r="C21" s="3" t="s">
        <v>15</v>
      </c>
      <c r="D21" s="3">
        <v>10</v>
      </c>
      <c r="E21" s="5">
        <v>15</v>
      </c>
      <c r="F21" s="4">
        <f t="shared" si="0"/>
        <v>150</v>
      </c>
      <c r="J21">
        <f>SUMIFS(F:F,B:B,"CANON",E:E,"&lt;30")</f>
        <v>3200</v>
      </c>
    </row>
    <row r="22" spans="1:10" x14ac:dyDescent="0.3">
      <c r="A22" s="3" t="s">
        <v>9</v>
      </c>
      <c r="B22" s="3" t="s">
        <v>17</v>
      </c>
      <c r="C22" s="3" t="s">
        <v>15</v>
      </c>
      <c r="D22" s="3">
        <v>10</v>
      </c>
      <c r="E22" s="5">
        <v>15</v>
      </c>
      <c r="F22" s="4">
        <f t="shared" si="0"/>
        <v>150</v>
      </c>
      <c r="J22" t="s">
        <v>26</v>
      </c>
    </row>
    <row r="23" spans="1:10" x14ac:dyDescent="0.3">
      <c r="A23" s="3" t="s">
        <v>14</v>
      </c>
      <c r="B23" s="3" t="s">
        <v>17</v>
      </c>
      <c r="C23" s="3" t="s">
        <v>15</v>
      </c>
      <c r="D23" s="3">
        <v>15</v>
      </c>
      <c r="E23" s="5">
        <v>15</v>
      </c>
      <c r="F23" s="4">
        <f t="shared" si="0"/>
        <v>225</v>
      </c>
      <c r="J23">
        <f>SUMIFS(F:F,E:E,"&gt;=350",E:E,"&lt;=750")</f>
        <v>29750</v>
      </c>
    </row>
    <row r="24" spans="1:10" x14ac:dyDescent="0.3">
      <c r="A24" s="3" t="s">
        <v>14</v>
      </c>
      <c r="B24" s="3" t="s">
        <v>17</v>
      </c>
      <c r="C24" s="3" t="s">
        <v>15</v>
      </c>
      <c r="D24" s="3">
        <v>15</v>
      </c>
      <c r="E24" s="5">
        <v>10</v>
      </c>
      <c r="F24" s="4">
        <f t="shared" si="0"/>
        <v>150</v>
      </c>
      <c r="J24" t="s">
        <v>27</v>
      </c>
    </row>
    <row r="25" spans="1:10" x14ac:dyDescent="0.3">
      <c r="A25" s="3" t="s">
        <v>14</v>
      </c>
      <c r="B25" s="3" t="s">
        <v>17</v>
      </c>
      <c r="C25" s="3" t="s">
        <v>15</v>
      </c>
      <c r="D25" s="3">
        <v>15</v>
      </c>
      <c r="E25" s="5">
        <v>15</v>
      </c>
      <c r="F25" s="4">
        <f t="shared" si="0"/>
        <v>225</v>
      </c>
      <c r="J25">
        <f>SUMIFS(F:F,E:E,"&gt;=500",E:E,"&lt;=1000")</f>
        <v>19500</v>
      </c>
    </row>
    <row r="26" spans="1:10" x14ac:dyDescent="0.3">
      <c r="A26" s="3" t="s">
        <v>14</v>
      </c>
      <c r="B26" s="3" t="s">
        <v>17</v>
      </c>
      <c r="C26" s="3" t="s">
        <v>15</v>
      </c>
      <c r="D26" s="3">
        <v>15</v>
      </c>
      <c r="E26" s="5">
        <v>15</v>
      </c>
      <c r="F26" s="4">
        <f t="shared" si="0"/>
        <v>225</v>
      </c>
      <c r="J26" t="s">
        <v>28</v>
      </c>
    </row>
    <row r="27" spans="1:10" x14ac:dyDescent="0.3">
      <c r="A27" s="3" t="s">
        <v>14</v>
      </c>
      <c r="B27" s="3" t="s">
        <v>17</v>
      </c>
      <c r="C27" s="3" t="s">
        <v>15</v>
      </c>
      <c r="D27" s="3">
        <v>15</v>
      </c>
      <c r="E27" s="5">
        <v>450</v>
      </c>
      <c r="F27" s="4">
        <f t="shared" si="0"/>
        <v>6750</v>
      </c>
    </row>
    <row r="28" spans="1:10" x14ac:dyDescent="0.3">
      <c r="A28" s="3" t="s">
        <v>18</v>
      </c>
      <c r="B28" s="3" t="s">
        <v>17</v>
      </c>
      <c r="C28" s="3" t="s">
        <v>15</v>
      </c>
      <c r="D28" s="3">
        <v>10</v>
      </c>
      <c r="E28" s="5">
        <v>200000</v>
      </c>
      <c r="F28" s="4">
        <f t="shared" si="0"/>
        <v>2000000</v>
      </c>
      <c r="J28" t="s">
        <v>29</v>
      </c>
    </row>
    <row r="29" spans="1:10" x14ac:dyDescent="0.3">
      <c r="A29" s="3" t="s">
        <v>18</v>
      </c>
      <c r="B29" s="3" t="s">
        <v>17</v>
      </c>
      <c r="C29" s="3" t="s">
        <v>15</v>
      </c>
      <c r="D29" s="3">
        <v>15</v>
      </c>
      <c r="E29" s="5">
        <v>550</v>
      </c>
      <c r="F29" s="4">
        <f t="shared" si="0"/>
        <v>8250</v>
      </c>
      <c r="J29">
        <f>SUMIFS(F:F,C:C,"ANKARA",E:E,"&gt;=10",E:E,"&lt;=20")</f>
        <v>4975</v>
      </c>
    </row>
    <row r="30" spans="1:10" x14ac:dyDescent="0.3">
      <c r="A30" s="3" t="s">
        <v>18</v>
      </c>
      <c r="B30" s="3" t="s">
        <v>17</v>
      </c>
      <c r="C30" s="3" t="s">
        <v>15</v>
      </c>
      <c r="D30" s="3">
        <v>15</v>
      </c>
      <c r="E30" s="5">
        <v>750</v>
      </c>
      <c r="F30" s="4">
        <f t="shared" si="0"/>
        <v>11250</v>
      </c>
      <c r="J30" t="s">
        <v>30</v>
      </c>
    </row>
    <row r="31" spans="1:10" x14ac:dyDescent="0.3">
      <c r="J31">
        <f>SUMIFS(F:F,C:C,"ADANA",E:E,"&gt;=15000",E:E,"&lt;=100000")</f>
        <v>7500000</v>
      </c>
    </row>
    <row r="32" spans="1:10" x14ac:dyDescent="0.3">
      <c r="J32" t="s">
        <v>31</v>
      </c>
    </row>
    <row r="33" spans="10:10" x14ac:dyDescent="0.3">
      <c r="J33">
        <f>SUMIFS(F:F,C:C,"ADANA",E:E,"&gt;=100",E:E,"&lt;=350")</f>
        <v>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2026-01-08T12:11:21Z</dcterms:created>
  <dcterms:modified xsi:type="dcterms:W3CDTF">2026-01-08T13:59:14Z</dcterms:modified>
</cp:coreProperties>
</file>